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 filterPrivacy="1"/>
  <xr:revisionPtr revIDLastSave="0" documentId="13_ncr:1_{A41E7F3F-6CAF-BA4F-965F-B99FA1E10443}" xr6:coauthVersionLast="47" xr6:coauthVersionMax="47" xr10:uidLastSave="{00000000-0000-0000-0000-000000000000}"/>
  <bookViews>
    <workbookView xWindow="760" yWindow="760" windowWidth="23620" windowHeight="17680" xr2:uid="{00000000-000D-0000-FFFF-FFFF00000000}"/>
  </bookViews>
  <sheets>
    <sheet name="Sheet1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10" i="2" l="1"/>
  <c r="S61" i="2"/>
  <c r="S4" i="2"/>
  <c r="S5" i="2"/>
  <c r="S6" i="2"/>
  <c r="S7" i="2"/>
  <c r="S8" i="2"/>
  <c r="S9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2" i="2"/>
  <c r="S3" i="2"/>
  <c r="O62" i="2"/>
  <c r="O3" i="2"/>
  <c r="P3" i="2"/>
  <c r="Q3" i="2"/>
  <c r="O4" i="2"/>
  <c r="P4" i="2"/>
  <c r="Q4" i="2"/>
  <c r="O5" i="2"/>
  <c r="P5" i="2"/>
  <c r="Q5" i="2"/>
  <c r="O6" i="2"/>
  <c r="P6" i="2"/>
  <c r="Q6" i="2"/>
  <c r="O7" i="2"/>
  <c r="P7" i="2"/>
  <c r="Q7" i="2"/>
  <c r="O8" i="2"/>
  <c r="P8" i="2"/>
  <c r="Q8" i="2"/>
  <c r="O9" i="2"/>
  <c r="P9" i="2"/>
  <c r="Q9" i="2"/>
  <c r="O10" i="2"/>
  <c r="P10" i="2"/>
  <c r="Q10" i="2"/>
  <c r="O11" i="2"/>
  <c r="P11" i="2"/>
  <c r="Q11" i="2"/>
  <c r="O12" i="2"/>
  <c r="P12" i="2"/>
  <c r="Q12" i="2"/>
  <c r="O13" i="2"/>
  <c r="P13" i="2"/>
  <c r="Q13" i="2"/>
  <c r="O14" i="2"/>
  <c r="P14" i="2"/>
  <c r="Q14" i="2"/>
  <c r="O15" i="2"/>
  <c r="P15" i="2"/>
  <c r="Q15" i="2"/>
  <c r="O16" i="2"/>
  <c r="P16" i="2"/>
  <c r="Q16" i="2"/>
  <c r="O17" i="2"/>
  <c r="P17" i="2"/>
  <c r="Q17" i="2"/>
  <c r="O18" i="2"/>
  <c r="P18" i="2"/>
  <c r="Q18" i="2"/>
  <c r="O19" i="2"/>
  <c r="P19" i="2"/>
  <c r="Q19" i="2"/>
  <c r="O20" i="2"/>
  <c r="P20" i="2"/>
  <c r="Q20" i="2"/>
  <c r="O21" i="2"/>
  <c r="P21" i="2"/>
  <c r="Q21" i="2"/>
  <c r="O22" i="2"/>
  <c r="P22" i="2"/>
  <c r="Q22" i="2"/>
  <c r="O23" i="2"/>
  <c r="P23" i="2"/>
  <c r="Q23" i="2"/>
  <c r="O24" i="2"/>
  <c r="P24" i="2"/>
  <c r="Q24" i="2"/>
  <c r="O25" i="2"/>
  <c r="P25" i="2"/>
  <c r="Q25" i="2"/>
  <c r="O26" i="2"/>
  <c r="P26" i="2"/>
  <c r="Q26" i="2"/>
  <c r="O27" i="2"/>
  <c r="P27" i="2"/>
  <c r="Q27" i="2"/>
  <c r="O28" i="2"/>
  <c r="P28" i="2"/>
  <c r="Q28" i="2"/>
  <c r="O29" i="2"/>
  <c r="P29" i="2"/>
  <c r="Q29" i="2"/>
  <c r="O30" i="2"/>
  <c r="P30" i="2"/>
  <c r="Q30" i="2"/>
  <c r="O31" i="2"/>
  <c r="P31" i="2"/>
  <c r="Q31" i="2"/>
  <c r="O32" i="2"/>
  <c r="P32" i="2"/>
  <c r="Q32" i="2"/>
  <c r="O33" i="2"/>
  <c r="P33" i="2"/>
  <c r="Q33" i="2"/>
  <c r="O34" i="2"/>
  <c r="P34" i="2"/>
  <c r="Q34" i="2"/>
  <c r="O35" i="2"/>
  <c r="P35" i="2"/>
  <c r="Q35" i="2"/>
  <c r="O36" i="2"/>
  <c r="P36" i="2"/>
  <c r="Q36" i="2"/>
  <c r="O37" i="2"/>
  <c r="P37" i="2"/>
  <c r="Q37" i="2"/>
  <c r="O38" i="2"/>
  <c r="P38" i="2"/>
  <c r="Q38" i="2"/>
  <c r="O39" i="2"/>
  <c r="P39" i="2"/>
  <c r="Q39" i="2"/>
  <c r="O40" i="2"/>
  <c r="P40" i="2"/>
  <c r="Q40" i="2"/>
  <c r="O41" i="2"/>
  <c r="P41" i="2"/>
  <c r="Q41" i="2"/>
  <c r="O42" i="2"/>
  <c r="P42" i="2"/>
  <c r="Q42" i="2"/>
  <c r="O43" i="2"/>
  <c r="P43" i="2"/>
  <c r="Q43" i="2"/>
  <c r="O44" i="2"/>
  <c r="P44" i="2"/>
  <c r="Q44" i="2"/>
  <c r="O45" i="2"/>
  <c r="P45" i="2"/>
  <c r="Q45" i="2"/>
  <c r="O46" i="2"/>
  <c r="P46" i="2"/>
  <c r="Q46" i="2"/>
  <c r="O47" i="2"/>
  <c r="P47" i="2"/>
  <c r="Q47" i="2"/>
  <c r="O48" i="2"/>
  <c r="P48" i="2"/>
  <c r="Q48" i="2"/>
  <c r="O49" i="2"/>
  <c r="P49" i="2"/>
  <c r="Q49" i="2"/>
  <c r="O50" i="2"/>
  <c r="P50" i="2"/>
  <c r="Q50" i="2"/>
  <c r="O51" i="2"/>
  <c r="P51" i="2"/>
  <c r="Q51" i="2"/>
  <c r="O52" i="2"/>
  <c r="P52" i="2"/>
  <c r="Q52" i="2"/>
  <c r="O53" i="2"/>
  <c r="P53" i="2"/>
  <c r="Q53" i="2"/>
  <c r="O54" i="2"/>
  <c r="P54" i="2"/>
  <c r="Q54" i="2"/>
  <c r="O55" i="2"/>
  <c r="P55" i="2"/>
  <c r="Q55" i="2"/>
  <c r="O56" i="2"/>
  <c r="P56" i="2"/>
  <c r="Q56" i="2"/>
  <c r="O57" i="2"/>
  <c r="P57" i="2"/>
  <c r="Q57" i="2"/>
  <c r="O58" i="2"/>
  <c r="P58" i="2"/>
  <c r="Q58" i="2"/>
  <c r="O59" i="2"/>
  <c r="P59" i="2"/>
  <c r="Q59" i="2"/>
  <c r="O60" i="2"/>
  <c r="P60" i="2"/>
  <c r="Q60" i="2"/>
  <c r="O61" i="2"/>
  <c r="P61" i="2"/>
  <c r="Q61" i="2"/>
  <c r="P62" i="2"/>
  <c r="Q62" i="2"/>
  <c r="Q2" i="2"/>
  <c r="P2" i="2"/>
  <c r="O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3" i="2"/>
  <c r="J2" i="2"/>
</calcChain>
</file>

<file path=xl/sharedStrings.xml><?xml version="1.0" encoding="utf-8"?>
<sst xmlns="http://schemas.openxmlformats.org/spreadsheetml/2006/main" count="34" uniqueCount="19">
  <si>
    <t>IMOEX</t>
  </si>
  <si>
    <t>M2X</t>
  </si>
  <si>
    <t>internal_debt</t>
  </si>
  <si>
    <t>budget</t>
  </si>
  <si>
    <t>unempl</t>
  </si>
  <si>
    <t>net_exp</t>
  </si>
  <si>
    <t>GPR</t>
  </si>
  <si>
    <t>proces_ind</t>
  </si>
  <si>
    <t>Interest_rate_(%)</t>
  </si>
  <si>
    <t>Fed_Bonds_3</t>
  </si>
  <si>
    <t>Inflation_q/q_without_seas</t>
  </si>
  <si>
    <t>Urals</t>
  </si>
  <si>
    <t>usd_rub</t>
  </si>
  <si>
    <t>EU_GDP</t>
  </si>
  <si>
    <t>US_GDP</t>
  </si>
  <si>
    <t>CN_GDP</t>
  </si>
  <si>
    <t>GDP_(%)_q/q_real_2021</t>
  </si>
  <si>
    <t>inf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</si>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</sst>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#,##0.0"/>
    <numFmt numFmtId="167" formatCode="0.0"/>
    <numFmt numFmtId="171" formatCode="_-* #,##0.0000_-;\-* #,##0.0000_-;_-* &quot;-&quot;??_-;_-@_-"/>
    <numFmt numFmtId="172" formatCode="0.000"/>
    <numFmt numFmtId="173" formatCode="_-* #,##0.0\ _₽_-;\-* #,##0.0\ _₽_-;_-* &quot;-&quot;?\ _₽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164" fontId="0" fillId="0" borderId="0" xfId="1" applyNumberFormat="1" applyFont="1"/>
    <xf numFmtId="164" fontId="0" fillId="0" borderId="0" xfId="1" applyNumberFormat="1" applyFont="1" applyBorder="1"/>
    <xf numFmtId="164" fontId="1" fillId="0" borderId="1" xfId="1" applyNumberFormat="1" applyFont="1" applyFill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164" fontId="1" fillId="0" borderId="0" xfId="1" applyNumberFormat="1" applyFont="1" applyFill="1" applyBorder="1"/>
    <xf numFmtId="43" fontId="1" fillId="0" borderId="0" xfId="1" applyFont="1" applyFill="1" applyBorder="1"/>
    <xf numFmtId="165" fontId="3" fillId="0" borderId="0" xfId="1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6" fontId="4" fillId="0" borderId="2" xfId="0" applyNumberFormat="1" applyFont="1" applyBorder="1"/>
    <xf numFmtId="166" fontId="4" fillId="2" borderId="2" xfId="0" applyNumberFormat="1" applyFont="1" applyFill="1" applyBorder="1"/>
    <xf numFmtId="166" fontId="4" fillId="3" borderId="2" xfId="0" applyNumberFormat="1" applyFont="1" applyFill="1" applyBorder="1"/>
    <xf numFmtId="164" fontId="1" fillId="0" borderId="1" xfId="1" applyNumberFormat="1" applyFont="1" applyFill="1" applyBorder="1"/>
    <xf numFmtId="0" fontId="1" fillId="0" borderId="0" xfId="0" applyFon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1" xfId="1" applyNumberFormat="1" applyFont="1" applyBorder="1"/>
    <xf numFmtId="165" fontId="1" fillId="0" borderId="0" xfId="1" applyNumberFormat="1" applyFont="1" applyFill="1" applyBorder="1"/>
    <xf numFmtId="165" fontId="1" fillId="0" borderId="1" xfId="1" applyNumberFormat="1" applyFont="1" applyFill="1" applyBorder="1"/>
    <xf numFmtId="167" fontId="0" fillId="0" borderId="0" xfId="0" applyNumberFormat="1"/>
    <xf numFmtId="0" fontId="5" fillId="4" borderId="2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center" wrapText="1"/>
    </xf>
    <xf numFmtId="0" fontId="5" fillId="5" borderId="2" xfId="0" applyFont="1" applyFill="1" applyBorder="1" applyAlignment="1">
      <alignment horizontal="center" vertical="top"/>
    </xf>
    <xf numFmtId="171" fontId="0" fillId="0" borderId="0" xfId="1" applyNumberFormat="1" applyFont="1"/>
    <xf numFmtId="171" fontId="0" fillId="0" borderId="0" xfId="1" applyNumberFormat="1" applyFont="1" applyBorder="1"/>
    <xf numFmtId="171" fontId="1" fillId="0" borderId="1" xfId="1" applyNumberFormat="1" applyFont="1" applyFill="1" applyBorder="1" applyAlignment="1">
      <alignment horizontal="center"/>
    </xf>
    <xf numFmtId="172" fontId="0" fillId="0" borderId="0" xfId="0" applyNumberFormat="1"/>
    <xf numFmtId="173" fontId="0" fillId="0" borderId="0" xfId="0" applyNumberFormat="1"/>
    <xf numFmtId="14" fontId="1" fillId="0" borderId="0" xfId="0" applyNumberFormat="1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topLeftCell="D1" workbookViewId="0">
      <selection activeCell="S13" sqref="S13"/>
    </sheetView>
  </sheetViews>
  <sheetFormatPr baseColWidth="10" defaultColWidth="8.83203125" defaultRowHeight="15" x14ac:dyDescent="0.2"/>
  <cols>
    <col min="1" max="1" width="11.5" style="3" customWidth="1"/>
    <col min="2" max="2" width="21.1640625" style="1" bestFit="1" customWidth="1"/>
    <col min="3" max="3" width="14.5" style="10" bestFit="1" customWidth="1"/>
    <col min="4" max="4" width="23.5" customWidth="1"/>
    <col min="5" max="7" width="11.5" style="1" customWidth="1"/>
    <col min="10" max="10" width="16" customWidth="1"/>
    <col min="15" max="15" width="10.5" customWidth="1"/>
    <col min="16" max="18" width="11.5" style="17" customWidth="1"/>
  </cols>
  <sheetData>
    <row r="1" spans="1:19" ht="16" x14ac:dyDescent="0.2">
      <c r="A1" s="1" t="s">
        <v>18</v>
      </c>
      <c r="B1" s="24" t="s">
        <v>16</v>
      </c>
      <c r="C1" s="24" t="s">
        <v>8</v>
      </c>
      <c r="D1" s="24" t="s">
        <v>10</v>
      </c>
      <c r="E1" s="26" t="s">
        <v>9</v>
      </c>
      <c r="F1" s="25" t="s">
        <v>12</v>
      </c>
      <c r="G1" s="25" t="s">
        <v>11</v>
      </c>
      <c r="H1" s="25" t="s">
        <v>0</v>
      </c>
      <c r="I1" s="2" t="s">
        <v>1</v>
      </c>
      <c r="J1" s="2" t="s">
        <v>2</v>
      </c>
      <c r="K1" s="2" t="s">
        <v>3</v>
      </c>
      <c r="L1" s="25" t="s">
        <v>4</v>
      </c>
      <c r="M1" s="25" t="s">
        <v>5</v>
      </c>
      <c r="N1" s="25" t="s">
        <v>6</v>
      </c>
      <c r="O1" s="25" t="s">
        <v>7</v>
      </c>
      <c r="P1" s="25" t="s">
        <v>13</v>
      </c>
      <c r="Q1" s="25" t="s">
        <v>14</v>
      </c>
      <c r="R1" s="25" t="s">
        <v>15</v>
      </c>
    </row>
    <row r="2" spans="1:19" x14ac:dyDescent="0.2">
      <c r="A2" s="32">
        <v>40603</v>
      </c>
      <c r="B2" s="27">
        <v>28604.283302760799</v>
      </c>
      <c r="C2" s="7">
        <v>2.8225000000000002</v>
      </c>
      <c r="D2">
        <v>269.1485210236367</v>
      </c>
      <c r="E2" s="11">
        <v>7.0740425925925896</v>
      </c>
      <c r="F2" s="23">
        <v>29.26</v>
      </c>
      <c r="G2" s="7">
        <v>102.14</v>
      </c>
      <c r="H2" s="23">
        <v>1744.0528910154171</v>
      </c>
      <c r="I2" s="23">
        <v>23512.392333333333</v>
      </c>
      <c r="J2" s="23">
        <v>2986.3403333333335</v>
      </c>
      <c r="K2" s="13">
        <v>817.04253100008054</v>
      </c>
      <c r="L2" s="23">
        <v>6.7750354724619699</v>
      </c>
      <c r="M2">
        <v>34818.843188139188</v>
      </c>
      <c r="N2" s="23">
        <v>102.10813649495442</v>
      </c>
      <c r="O2" s="23">
        <v>-1.7543978531551701</v>
      </c>
      <c r="P2" s="18">
        <v>132.84198181119612</v>
      </c>
      <c r="Q2" s="9">
        <v>16920.599999999999</v>
      </c>
      <c r="R2" s="21">
        <v>102.3</v>
      </c>
    </row>
    <row r="3" spans="1:19" x14ac:dyDescent="0.2">
      <c r="A3" s="32">
        <v>40695</v>
      </c>
      <c r="B3" s="27">
        <v>101.28737009056896</v>
      </c>
      <c r="C3" s="7">
        <v>3.4930645161290337</v>
      </c>
      <c r="D3">
        <v>1.2862365835300427</v>
      </c>
      <c r="E3" s="11">
        <v>6.7780733333333334</v>
      </c>
      <c r="F3" s="23">
        <v>-4.3403964456596107</v>
      </c>
      <c r="G3" s="7">
        <v>114.20333333333332</v>
      </c>
      <c r="H3" s="23">
        <v>1694.7458571428572</v>
      </c>
      <c r="I3" s="23">
        <v>23498.664908637304</v>
      </c>
      <c r="J3" s="23">
        <v>3259.047275007646</v>
      </c>
      <c r="K3" s="13">
        <v>1.1102987889409208</v>
      </c>
      <c r="L3" s="30">
        <v>-7.1172183680380031E-4</v>
      </c>
      <c r="M3">
        <v>42573.771663019317</v>
      </c>
      <c r="N3" s="23">
        <v>93.584843953450516</v>
      </c>
      <c r="O3" s="23">
        <v>-1.99123735228611</v>
      </c>
      <c r="P3" s="18">
        <v>100</v>
      </c>
      <c r="Q3" s="9">
        <v>100.67668995189297</v>
      </c>
      <c r="R3" s="21">
        <v>102.4552</v>
      </c>
      <c r="S3" s="31"/>
    </row>
    <row r="4" spans="1:19" x14ac:dyDescent="0.2">
      <c r="A4" s="32">
        <v>40787</v>
      </c>
      <c r="B4" s="27">
        <v>101.49335127330357</v>
      </c>
      <c r="C4" s="7">
        <v>4.0159090909090907</v>
      </c>
      <c r="D4">
        <v>0.7683186347969384</v>
      </c>
      <c r="E4" s="11">
        <v>7.0008644067796606</v>
      </c>
      <c r="F4" s="23">
        <v>3.7156127188281651</v>
      </c>
      <c r="G4" s="7">
        <v>112.09333333333332</v>
      </c>
      <c r="H4" s="23">
        <v>1565.8793061045235</v>
      </c>
      <c r="I4" s="23">
        <v>24165.881780184365</v>
      </c>
      <c r="J4" s="23">
        <v>3583.1742692875828</v>
      </c>
      <c r="K4" s="13">
        <v>0.37820839185001587</v>
      </c>
      <c r="L4" s="30">
        <v>-1.9955411689671987E-3</v>
      </c>
      <c r="M4">
        <v>43166.779512945213</v>
      </c>
      <c r="N4" s="23">
        <v>83.075592041015625</v>
      </c>
      <c r="O4" s="23">
        <v>-1.7175479651955099</v>
      </c>
      <c r="P4" s="18">
        <v>100</v>
      </c>
      <c r="Q4" s="9">
        <v>99.977693115978198</v>
      </c>
      <c r="R4" s="21">
        <v>101.88559359999999</v>
      </c>
      <c r="S4" s="31"/>
    </row>
    <row r="5" spans="1:19" x14ac:dyDescent="0.2">
      <c r="A5" s="32">
        <v>40878</v>
      </c>
      <c r="B5" s="27">
        <v>101.19468831368179</v>
      </c>
      <c r="C5" s="7">
        <v>5.0563492063492044</v>
      </c>
      <c r="D5">
        <v>1.3343545131213164</v>
      </c>
      <c r="E5" s="11">
        <v>7.8126499999999988</v>
      </c>
      <c r="F5" s="23">
        <v>7.5439200826730834</v>
      </c>
      <c r="G5" s="7">
        <v>108.86666666666667</v>
      </c>
      <c r="H5" s="23">
        <v>1428.7034992784993</v>
      </c>
      <c r="I5" s="23">
        <v>25233.979636863198</v>
      </c>
      <c r="J5" s="23">
        <v>3871.0219953334263</v>
      </c>
      <c r="K5" s="14">
        <v>-0.64978959038277517</v>
      </c>
      <c r="L5" s="30">
        <v>-1.9395539851637977E-3</v>
      </c>
      <c r="M5">
        <v>43045.484431709803</v>
      </c>
      <c r="N5" s="23">
        <v>81.612978617350265</v>
      </c>
      <c r="O5" s="23">
        <v>-1.5269854316546201</v>
      </c>
      <c r="P5" s="18">
        <v>99.60147405456641</v>
      </c>
      <c r="Q5" s="9">
        <v>101.12322606025377</v>
      </c>
      <c r="R5" s="21">
        <v>101.70625269760001</v>
      </c>
      <c r="S5" s="31"/>
    </row>
    <row r="6" spans="1:19" x14ac:dyDescent="0.2">
      <c r="A6" s="32">
        <v>40969</v>
      </c>
      <c r="B6" s="27">
        <v>101.6062063825714</v>
      </c>
      <c r="C6" s="7">
        <v>4.7308771929824562</v>
      </c>
      <c r="D6">
        <v>1.061576609581949</v>
      </c>
      <c r="E6" s="11">
        <v>7.2602711864406775</v>
      </c>
      <c r="F6" s="23">
        <v>-3.1390134529147962</v>
      </c>
      <c r="G6" s="7">
        <v>117.10666666666667</v>
      </c>
      <c r="H6" s="23">
        <v>1538.8479285714284</v>
      </c>
      <c r="I6" s="23">
        <v>26810.202652900123</v>
      </c>
      <c r="J6" s="23">
        <v>4026.6283677221754</v>
      </c>
      <c r="K6" s="13">
        <v>-0.40236896522727966</v>
      </c>
      <c r="L6" s="30">
        <v>-2.6359335259736037E-3</v>
      </c>
      <c r="M6">
        <v>43458.83792880908</v>
      </c>
      <c r="N6" s="23">
        <v>86.946924845377609</v>
      </c>
      <c r="O6" s="23">
        <v>-1.7627005585940501</v>
      </c>
      <c r="P6" s="18">
        <v>99.735113088268463</v>
      </c>
      <c r="Q6" s="9">
        <v>100.83843322146481</v>
      </c>
      <c r="R6" s="21">
        <v>102.0585938796544</v>
      </c>
      <c r="S6" s="31"/>
    </row>
    <row r="7" spans="1:19" x14ac:dyDescent="0.2">
      <c r="A7" s="32">
        <v>41061</v>
      </c>
      <c r="B7" s="27">
        <v>100.31550104836202</v>
      </c>
      <c r="C7" s="7">
        <v>5.5314516129032265</v>
      </c>
      <c r="D7">
        <v>1.778202205529289</v>
      </c>
      <c r="E7" s="11">
        <v>7.4394213114754111</v>
      </c>
      <c r="F7" s="23">
        <v>2.4470899470899532</v>
      </c>
      <c r="G7" s="7">
        <v>106.46333333333332</v>
      </c>
      <c r="H7" s="23">
        <v>1393.0177153209108</v>
      </c>
      <c r="I7" s="23">
        <v>26697.641036790319</v>
      </c>
      <c r="J7" s="23">
        <v>4068.0099480127419</v>
      </c>
      <c r="K7" s="13">
        <v>1.1550458615334915</v>
      </c>
      <c r="L7" s="30">
        <v>-3.7383575581711971E-3</v>
      </c>
      <c r="M7">
        <v>37998.251946430493</v>
      </c>
      <c r="N7" s="23">
        <v>84.003425598144531</v>
      </c>
      <c r="O7" s="23">
        <v>-0.66865130383142102</v>
      </c>
      <c r="P7" s="18">
        <v>99.471285724183872</v>
      </c>
      <c r="Q7" s="9">
        <v>100.44624863246388</v>
      </c>
      <c r="R7" s="21">
        <v>102.31851844372233</v>
      </c>
      <c r="S7" s="31"/>
    </row>
    <row r="8" spans="1:19" x14ac:dyDescent="0.2">
      <c r="A8" s="32">
        <v>41153</v>
      </c>
      <c r="B8" s="27">
        <v>100.33569748998865</v>
      </c>
      <c r="C8" s="7">
        <v>5.4089230769230783</v>
      </c>
      <c r="D8">
        <v>2.4967876322215199</v>
      </c>
      <c r="E8" s="11">
        <v>7.2960562499999977</v>
      </c>
      <c r="F8" s="23">
        <v>3.2924467398321555</v>
      </c>
      <c r="G8" s="7">
        <v>109.07666666666667</v>
      </c>
      <c r="H8" s="23">
        <v>1443.2619176548087</v>
      </c>
      <c r="I8" s="23">
        <v>26758.227226480605</v>
      </c>
      <c r="J8" s="23">
        <v>4083.6789183605224</v>
      </c>
      <c r="K8" s="13">
        <v>0.35654928111546552</v>
      </c>
      <c r="L8" s="30">
        <v>-1.4772731722070987E-3</v>
      </c>
      <c r="M8">
        <v>32076.77971605309</v>
      </c>
      <c r="N8" s="23">
        <v>75.655629475911454</v>
      </c>
      <c r="O8" s="23">
        <v>0.30908832432556099</v>
      </c>
      <c r="P8" s="18">
        <v>99.868350145321784</v>
      </c>
      <c r="Q8" s="9">
        <v>100.14445813866834</v>
      </c>
      <c r="R8" s="21">
        <v>102.14175901379856</v>
      </c>
      <c r="S8" s="31"/>
    </row>
    <row r="9" spans="1:19" x14ac:dyDescent="0.2">
      <c r="A9" s="32">
        <v>41244</v>
      </c>
      <c r="B9" s="27">
        <v>99.974479477771609</v>
      </c>
      <c r="C9" s="7">
        <v>6.0896875000000037</v>
      </c>
      <c r="D9">
        <v>1.1415276325759116</v>
      </c>
      <c r="E9" s="11">
        <v>6.788598437500001</v>
      </c>
      <c r="F9" s="23">
        <v>-2.8750000000000053</v>
      </c>
      <c r="G9" s="7">
        <v>109</v>
      </c>
      <c r="H9" s="23">
        <v>1440.8055193236717</v>
      </c>
      <c r="I9" s="23">
        <v>26906.119244988688</v>
      </c>
      <c r="J9" s="23">
        <v>4141.3425485354219</v>
      </c>
      <c r="K9" s="14">
        <v>-0.83761351740517198</v>
      </c>
      <c r="L9" s="30">
        <v>-1.6411764113749073E-3</v>
      </c>
      <c r="M9">
        <v>32021.216005931012</v>
      </c>
      <c r="N9" s="23">
        <v>79.29495493570964</v>
      </c>
      <c r="O9" s="23">
        <v>-0.52763786594686901</v>
      </c>
      <c r="P9" s="18">
        <v>99.473927180705857</v>
      </c>
      <c r="Q9" s="9">
        <v>100.11562877439223</v>
      </c>
      <c r="R9" s="21">
        <v>102.2973183526955</v>
      </c>
      <c r="S9" s="31"/>
    </row>
    <row r="10" spans="1:19" x14ac:dyDescent="0.2">
      <c r="A10" s="32">
        <v>41334</v>
      </c>
      <c r="B10" s="27">
        <v>101.03870158894672</v>
      </c>
      <c r="C10" s="7">
        <v>5.6622807017543861</v>
      </c>
      <c r="D10">
        <v>1.4872793365090953</v>
      </c>
      <c r="E10" s="11">
        <v>6.1164631578947359</v>
      </c>
      <c r="F10" s="23">
        <v>-2.1879021879021909</v>
      </c>
      <c r="G10" s="7">
        <v>110.97666666666667</v>
      </c>
      <c r="H10" s="23">
        <v>1503.651685185185</v>
      </c>
      <c r="I10" s="23">
        <v>28513.288935287077</v>
      </c>
      <c r="J10" s="23">
        <v>4383.6219241391373</v>
      </c>
      <c r="K10" s="13">
        <v>0.10072297903931171</v>
      </c>
      <c r="L10" s="30">
        <v>9.2409306275800243E-4</v>
      </c>
      <c r="M10">
        <v>29738.961167721296</v>
      </c>
      <c r="N10" s="23">
        <v>82.714848836263016</v>
      </c>
      <c r="O10" s="23">
        <v>-0.81415663777022296</v>
      </c>
      <c r="P10" s="18">
        <v>99.607023603987273</v>
      </c>
      <c r="Q10" s="9">
        <v>100.98628351219847</v>
      </c>
      <c r="R10" s="21">
        <v>102.22610148376195</v>
      </c>
      <c r="S10" s="31"/>
    </row>
    <row r="11" spans="1:19" x14ac:dyDescent="0.2">
      <c r="A11" s="32">
        <v>41426</v>
      </c>
      <c r="B11" s="27">
        <v>100.41748793975759</v>
      </c>
      <c r="C11" s="7">
        <v>6.2086440677966124</v>
      </c>
      <c r="D11">
        <v>1.7043176471682076</v>
      </c>
      <c r="E11" s="11">
        <v>6.1771758064516131</v>
      </c>
      <c r="F11" s="23">
        <v>3.9802631578947478</v>
      </c>
      <c r="G11" s="7">
        <v>102.07333333333334</v>
      </c>
      <c r="H11" s="23">
        <v>1366.560984278879</v>
      </c>
      <c r="I11" s="23">
        <v>28938.492225165905</v>
      </c>
      <c r="J11" s="23">
        <v>4289.5846993866789</v>
      </c>
      <c r="K11" s="13">
        <v>0.8094587569335755</v>
      </c>
      <c r="L11" s="30">
        <v>5.8783745355920128E-4</v>
      </c>
      <c r="M11">
        <v>27674.131625201204</v>
      </c>
      <c r="N11" s="23">
        <v>87.266064961751297</v>
      </c>
      <c r="O11" s="23">
        <v>-2.0220600626579799</v>
      </c>
      <c r="P11" s="18">
        <v>100.91419408925762</v>
      </c>
      <c r="Q11" s="9">
        <v>100.26780052540991</v>
      </c>
      <c r="R11" s="21">
        <v>102.1490080744822</v>
      </c>
      <c r="S11" s="31"/>
    </row>
    <row r="12" spans="1:19" x14ac:dyDescent="0.2">
      <c r="A12" s="32">
        <v>41518</v>
      </c>
      <c r="B12" s="27">
        <v>99.792662917615559</v>
      </c>
      <c r="C12" s="7">
        <v>6.0613636363636401</v>
      </c>
      <c r="D12">
        <v>1.6329877566279682</v>
      </c>
      <c r="E12" s="11">
        <v>6.3727181818181808</v>
      </c>
      <c r="F12" s="23">
        <v>3.7329958873774105</v>
      </c>
      <c r="G12" s="7">
        <v>110.07</v>
      </c>
      <c r="H12" s="23">
        <v>1404.6733816425119</v>
      </c>
      <c r="I12" s="23">
        <v>29716.040090628649</v>
      </c>
      <c r="J12" s="23">
        <v>4306.8792506015152</v>
      </c>
      <c r="K12" s="13">
        <v>0.67865285325385671</v>
      </c>
      <c r="L12" s="30">
        <v>1.2006257358097017E-5</v>
      </c>
      <c r="M12">
        <v>33607.966492045409</v>
      </c>
      <c r="N12" s="23">
        <v>88.463963826497391</v>
      </c>
      <c r="O12" s="23">
        <v>-2.6018498674947899</v>
      </c>
      <c r="P12" s="18">
        <v>100.39454004909246</v>
      </c>
      <c r="Q12" s="9">
        <v>100.85151075399357</v>
      </c>
      <c r="R12" s="21">
        <v>102.55230525646</v>
      </c>
      <c r="S12" s="31"/>
    </row>
    <row r="13" spans="1:19" x14ac:dyDescent="0.2">
      <c r="A13" s="32">
        <v>41609</v>
      </c>
      <c r="B13" s="27">
        <v>100.63382244519003</v>
      </c>
      <c r="C13" s="7">
        <v>6.1693750000000014</v>
      </c>
      <c r="D13">
        <v>1.4734960584205314</v>
      </c>
      <c r="E13" s="11">
        <v>6.7212296874999993</v>
      </c>
      <c r="F13" s="23">
        <v>-0.79292467215613671</v>
      </c>
      <c r="G13" s="7">
        <v>108.37</v>
      </c>
      <c r="H13" s="23">
        <v>1491.9862225672875</v>
      </c>
      <c r="I13" s="23">
        <v>29564.182666797002</v>
      </c>
      <c r="J13" s="23">
        <v>4445.7991724736739</v>
      </c>
      <c r="K13" s="14">
        <v>-1.9153032952988551</v>
      </c>
      <c r="L13" s="30">
        <v>-2.9758784824220009E-4</v>
      </c>
      <c r="M13">
        <v>30963.423489556502</v>
      </c>
      <c r="N13" s="23">
        <v>73.701543172200516</v>
      </c>
      <c r="O13" s="23">
        <v>-3.85732802498439</v>
      </c>
      <c r="P13" s="18">
        <v>100.26381577949317</v>
      </c>
      <c r="Q13" s="9">
        <v>100.87119621511155</v>
      </c>
      <c r="R13" s="21">
        <v>101.98545041283478</v>
      </c>
      <c r="S13" s="31"/>
    </row>
    <row r="14" spans="1:19" x14ac:dyDescent="0.2">
      <c r="A14" s="32">
        <v>41699</v>
      </c>
      <c r="B14" s="27">
        <v>99.850522056527453</v>
      </c>
      <c r="C14" s="7">
        <v>6.6435087719298238</v>
      </c>
      <c r="D14">
        <v>1.8519968973347289</v>
      </c>
      <c r="E14" s="11">
        <v>7.6008474576271192</v>
      </c>
      <c r="F14" s="23">
        <v>7.4392868121733846</v>
      </c>
      <c r="G14" s="7">
        <v>106.84333333333335</v>
      </c>
      <c r="H14" s="23">
        <v>1423.3301842105263</v>
      </c>
      <c r="I14" s="23">
        <v>31239.496242947713</v>
      </c>
      <c r="J14" s="23">
        <v>4797.9870108078785</v>
      </c>
      <c r="K14" s="13">
        <v>1.6115959494746586</v>
      </c>
      <c r="L14" s="30">
        <v>-2.6565702098014922E-3</v>
      </c>
      <c r="M14">
        <v>31824.129796585781</v>
      </c>
      <c r="N14" s="23">
        <v>88.919349670410156</v>
      </c>
      <c r="O14" s="23">
        <v>-4.2061607704986796</v>
      </c>
      <c r="P14" s="18">
        <v>100.66085852763035</v>
      </c>
      <c r="Q14" s="9">
        <v>99.655308307569342</v>
      </c>
      <c r="R14" s="21">
        <v>102.52152202430018</v>
      </c>
      <c r="S14" s="31"/>
    </row>
    <row r="15" spans="1:19" x14ac:dyDescent="0.2">
      <c r="A15" s="32">
        <v>41791</v>
      </c>
      <c r="B15" s="27">
        <v>100.71629023023662</v>
      </c>
      <c r="C15" s="7">
        <v>8.0404999999999998</v>
      </c>
      <c r="D15">
        <v>2.4907558262144081</v>
      </c>
      <c r="E15" s="11">
        <v>8.4142622950819632</v>
      </c>
      <c r="F15" s="23">
        <v>0.11444921316166</v>
      </c>
      <c r="G15" s="7">
        <v>107.73</v>
      </c>
      <c r="H15" s="23">
        <v>1406.1588755980863</v>
      </c>
      <c r="I15" s="23">
        <v>30368.036540364981</v>
      </c>
      <c r="J15" s="23">
        <v>4667.9364707941431</v>
      </c>
      <c r="K15" s="13">
        <v>1.0083262890885343</v>
      </c>
      <c r="L15" s="30">
        <v>-1.135571973934404E-3</v>
      </c>
      <c r="M15">
        <v>36339.356879139232</v>
      </c>
      <c r="N15" s="23">
        <v>91.805834452311203</v>
      </c>
      <c r="O15" s="23">
        <v>-4.04361693051003</v>
      </c>
      <c r="P15" s="18">
        <v>100.2656651281074</v>
      </c>
      <c r="Q15" s="9">
        <v>101.29163417622816</v>
      </c>
      <c r="R15" s="21">
        <v>102.31475721830759</v>
      </c>
      <c r="S15" s="31"/>
    </row>
    <row r="16" spans="1:19" x14ac:dyDescent="0.2">
      <c r="A16" s="32">
        <v>41883</v>
      </c>
      <c r="B16" s="27">
        <v>99.73535245875523</v>
      </c>
      <c r="C16" s="7">
        <v>7.9771212121212125</v>
      </c>
      <c r="D16">
        <v>2.0721779608584567</v>
      </c>
      <c r="E16" s="11">
        <v>9.1862121212121206</v>
      </c>
      <c r="F16" s="23">
        <v>3.4009717062017719</v>
      </c>
      <c r="G16" s="7">
        <v>100.77666666666669</v>
      </c>
      <c r="H16" s="23">
        <v>1431.6127188029361</v>
      </c>
      <c r="I16" s="23">
        <v>29925.091779601178</v>
      </c>
      <c r="J16" s="23">
        <v>4607.787349960543</v>
      </c>
      <c r="K16" s="13">
        <v>0.38932384328609598</v>
      </c>
      <c r="L16" s="30">
        <v>3.7444767919030396E-4</v>
      </c>
      <c r="M16">
        <v>35973.305457746217</v>
      </c>
      <c r="N16" s="23">
        <v>135.58539835611978</v>
      </c>
      <c r="O16" s="23">
        <v>-5.1743937826842101</v>
      </c>
      <c r="P16" s="18">
        <v>100.66549114590907</v>
      </c>
      <c r="Q16" s="9">
        <v>101.21522718149775</v>
      </c>
      <c r="R16" s="21">
        <v>102.35642284823712</v>
      </c>
      <c r="S16" s="31"/>
    </row>
    <row r="17" spans="1:19" x14ac:dyDescent="0.2">
      <c r="A17" s="32">
        <v>41974</v>
      </c>
      <c r="B17" s="27">
        <v>99.886481708769253</v>
      </c>
      <c r="C17" s="7">
        <v>11.32111111111111</v>
      </c>
      <c r="D17">
        <v>4.384467983495588</v>
      </c>
      <c r="E17" s="11">
        <v>11.504687499999999</v>
      </c>
      <c r="F17" s="23">
        <v>29.795467108899953</v>
      </c>
      <c r="G17" s="7">
        <v>75.259999999999991</v>
      </c>
      <c r="H17" s="23">
        <v>1460.2142795229181</v>
      </c>
      <c r="I17" s="23">
        <v>29869.779875878703</v>
      </c>
      <c r="J17" s="23">
        <v>4404.2804460965399</v>
      </c>
      <c r="K17" s="14">
        <v>-1.5252278946018476</v>
      </c>
      <c r="L17" s="30">
        <v>4.5753944456289553E-4</v>
      </c>
      <c r="M17">
        <v>29142.228037603389</v>
      </c>
      <c r="N17" s="23">
        <v>84.855758666992188</v>
      </c>
      <c r="O17" s="23">
        <v>-5.5520256582306704</v>
      </c>
      <c r="P17" s="18">
        <v>100.53505488131088</v>
      </c>
      <c r="Q17" s="9">
        <v>100.50578859014824</v>
      </c>
      <c r="R17" s="21">
        <v>102.26556965619952</v>
      </c>
      <c r="S17" s="31"/>
    </row>
    <row r="18" spans="1:19" x14ac:dyDescent="0.2">
      <c r="A18" s="32">
        <v>42064</v>
      </c>
      <c r="B18" s="27">
        <v>98.533390102799686</v>
      </c>
      <c r="C18" s="7">
        <v>15.40860215053763</v>
      </c>
      <c r="D18">
        <v>6.9128960676163365</v>
      </c>
      <c r="E18" s="11">
        <v>14.141864406779661</v>
      </c>
      <c r="F18" s="23">
        <v>32.367972742759775</v>
      </c>
      <c r="G18" s="7">
        <v>52.803333333333335</v>
      </c>
      <c r="H18" s="23">
        <v>1664.5705764411025</v>
      </c>
      <c r="I18" s="23">
        <v>31506.186844880569</v>
      </c>
      <c r="J18" s="23">
        <v>5167.6768616209674</v>
      </c>
      <c r="K18" s="13">
        <v>0.50524439614832906</v>
      </c>
      <c r="L18" s="30">
        <v>2.3909745481730037E-3</v>
      </c>
      <c r="M18">
        <v>32746.145951037499</v>
      </c>
      <c r="N18" s="23">
        <v>109.3818868001302</v>
      </c>
      <c r="O18" s="23">
        <v>-7.2891824186923904</v>
      </c>
      <c r="P18" s="18">
        <v>101.07439020167226</v>
      </c>
      <c r="Q18" s="9">
        <v>100.90054054054053</v>
      </c>
      <c r="R18" s="21">
        <v>102.30408434035493</v>
      </c>
      <c r="S18" s="31"/>
    </row>
    <row r="19" spans="1:19" x14ac:dyDescent="0.2">
      <c r="A19" s="32">
        <v>42156</v>
      </c>
      <c r="B19" s="27">
        <v>99.301108290714382</v>
      </c>
      <c r="C19" s="7">
        <v>12.781914893617021</v>
      </c>
      <c r="D19">
        <v>1.1118478758724848</v>
      </c>
      <c r="E19" s="11">
        <v>11.201967213114752</v>
      </c>
      <c r="F19" s="23">
        <v>-15.331402831402819</v>
      </c>
      <c r="G19" s="7">
        <v>61.4</v>
      </c>
      <c r="H19" s="23">
        <v>1667.0786075036076</v>
      </c>
      <c r="I19" s="23">
        <v>30407.723913585978</v>
      </c>
      <c r="J19" s="23">
        <v>5017.6470857705699</v>
      </c>
      <c r="K19" s="13">
        <v>-0.95210468372307122</v>
      </c>
      <c r="L19" s="30">
        <v>1.6893738576405947E-3</v>
      </c>
      <c r="M19">
        <v>34145.440334974905</v>
      </c>
      <c r="N19" s="23">
        <v>88.11959584554036</v>
      </c>
      <c r="O19" s="23">
        <v>-7.0256443372740103</v>
      </c>
      <c r="P19" s="18">
        <v>100.54149266164282</v>
      </c>
      <c r="Q19" s="9">
        <v>100.61928792602832</v>
      </c>
      <c r="R19" s="21">
        <v>102.61893068874579</v>
      </c>
      <c r="S19" s="31"/>
    </row>
    <row r="20" spans="1:19" x14ac:dyDescent="0.2">
      <c r="A20" s="32">
        <v>42248</v>
      </c>
      <c r="B20" s="27">
        <v>100.46639824054057</v>
      </c>
      <c r="C20" s="7">
        <v>11.157894736842101</v>
      </c>
      <c r="D20">
        <v>2.3239680556112141</v>
      </c>
      <c r="E20" s="11">
        <v>11.391060606060613</v>
      </c>
      <c r="F20" s="23">
        <v>19.418582557476725</v>
      </c>
      <c r="G20" s="7">
        <v>49.266666666666673</v>
      </c>
      <c r="H20" s="23">
        <v>1668.0667272099881</v>
      </c>
      <c r="I20" s="23">
        <v>31022.597230309377</v>
      </c>
      <c r="J20" s="23">
        <v>4885.3842006104642</v>
      </c>
      <c r="K20" s="13">
        <v>0.16774028954668979</v>
      </c>
      <c r="L20" s="30">
        <v>-2.478311454368942E-4</v>
      </c>
      <c r="M20">
        <v>22778.329907611609</v>
      </c>
      <c r="N20" s="23">
        <v>96.01821645100911</v>
      </c>
      <c r="O20" s="23">
        <v>-7.0545328547526402</v>
      </c>
      <c r="P20" s="18">
        <v>100.54365863228938</v>
      </c>
      <c r="Q20" s="9">
        <v>100.40037908232262</v>
      </c>
      <c r="R20" s="21">
        <v>102.38777559584963</v>
      </c>
      <c r="S20" s="31"/>
    </row>
    <row r="21" spans="1:19" x14ac:dyDescent="0.2">
      <c r="A21" s="32">
        <v>42339</v>
      </c>
      <c r="B21" s="27">
        <v>99.938706574935296</v>
      </c>
      <c r="C21" s="7">
        <v>11</v>
      </c>
      <c r="D21">
        <v>1.9815724432079573</v>
      </c>
      <c r="E21" s="11">
        <v>10.313593750000001</v>
      </c>
      <c r="F21" s="23">
        <v>4.7891805887032568</v>
      </c>
      <c r="G21" s="7">
        <v>41.766666666666666</v>
      </c>
      <c r="H21" s="23">
        <v>1741.8643787878784</v>
      </c>
      <c r="I21" s="23">
        <v>31910.566664327194</v>
      </c>
      <c r="J21" s="23">
        <v>4810.9386844359633</v>
      </c>
      <c r="K21" s="14">
        <v>-2.6773004790282817</v>
      </c>
      <c r="L21" s="30">
        <v>1.325050623231796E-3</v>
      </c>
      <c r="M21">
        <v>21599.157547268289</v>
      </c>
      <c r="N21" s="23">
        <v>130.29488118489584</v>
      </c>
      <c r="O21" s="23">
        <v>-6.9017153277885903</v>
      </c>
      <c r="P21" s="18">
        <v>100.68229158352318</v>
      </c>
      <c r="Q21" s="9">
        <v>100.18454293805084</v>
      </c>
      <c r="R21" s="21">
        <v>102.28552261739205</v>
      </c>
      <c r="S21" s="31"/>
    </row>
    <row r="22" spans="1:19" x14ac:dyDescent="0.2">
      <c r="A22" s="32">
        <v>42430</v>
      </c>
      <c r="B22" s="27">
        <v>99.979048894560492</v>
      </c>
      <c r="C22" s="7">
        <v>11</v>
      </c>
      <c r="D22">
        <v>1.5728236265102113</v>
      </c>
      <c r="E22" s="11">
        <v>9.9650819672131163</v>
      </c>
      <c r="F22" s="23">
        <v>13.255390221682362</v>
      </c>
      <c r="G22" s="7">
        <v>31.943333333333332</v>
      </c>
      <c r="H22" s="23">
        <v>1781.9920250120251</v>
      </c>
      <c r="I22" s="23">
        <v>34152.095796264162</v>
      </c>
      <c r="J22" s="23">
        <v>4861.4695400699657</v>
      </c>
      <c r="K22" s="13">
        <v>0.83834266744860475</v>
      </c>
      <c r="L22" s="30">
        <v>-1.0265613026245023E-3</v>
      </c>
      <c r="M22">
        <v>13500.589353481293</v>
      </c>
      <c r="N22" s="23">
        <v>110.56036122639973</v>
      </c>
      <c r="O22" s="23">
        <v>-6.0885685845637401</v>
      </c>
      <c r="P22" s="18">
        <v>100.6857030414408</v>
      </c>
      <c r="Q22" s="9">
        <v>100.57960428113188</v>
      </c>
      <c r="R22" s="21">
        <v>102.32209097927034</v>
      </c>
      <c r="S22" s="31"/>
    </row>
    <row r="23" spans="1:19" x14ac:dyDescent="0.2">
      <c r="A23" s="32">
        <v>42522</v>
      </c>
      <c r="B23" s="27">
        <v>99.920839544947</v>
      </c>
      <c r="C23" s="7">
        <v>10.882978723404261</v>
      </c>
      <c r="D23">
        <v>1.2745567550600079</v>
      </c>
      <c r="E23" s="11">
        <v>9.290819672131148</v>
      </c>
      <c r="F23" s="23">
        <v>-11.677168521249504</v>
      </c>
      <c r="G23" s="7">
        <v>43.593333333333334</v>
      </c>
      <c r="H23" s="23">
        <v>1905.2946950710109</v>
      </c>
      <c r="I23" s="23">
        <v>33014.400823941614</v>
      </c>
      <c r="J23" s="23">
        <v>4801.963333486754</v>
      </c>
      <c r="K23" s="13">
        <v>-1.2637927036853833</v>
      </c>
      <c r="L23" s="30">
        <v>7.6473896318498546E-5</v>
      </c>
      <c r="M23">
        <v>16489.469441107394</v>
      </c>
      <c r="N23" s="23">
        <v>87.907333374023438</v>
      </c>
      <c r="O23" s="23">
        <v>-5.3338912218227996</v>
      </c>
      <c r="P23" s="18">
        <v>100.27565262265921</v>
      </c>
      <c r="Q23" s="9">
        <v>100.32102390838715</v>
      </c>
      <c r="R23" s="21">
        <v>102.65414998930601</v>
      </c>
      <c r="S23" s="31"/>
    </row>
    <row r="24" spans="1:19" x14ac:dyDescent="0.2">
      <c r="A24" s="32">
        <v>42614</v>
      </c>
      <c r="B24" s="27">
        <v>100.16423241665846</v>
      </c>
      <c r="C24" s="7">
        <v>10.41578947368421</v>
      </c>
      <c r="D24">
        <v>1.4246698154181558</v>
      </c>
      <c r="E24" s="11">
        <v>8.8437878787878805</v>
      </c>
      <c r="F24" s="23">
        <v>-1.91256830601092</v>
      </c>
      <c r="G24" s="7">
        <v>43.886666666666663</v>
      </c>
      <c r="H24" s="23">
        <v>1963.7070904699165</v>
      </c>
      <c r="I24" s="23">
        <v>32511.829813967608</v>
      </c>
      <c r="J24" s="23">
        <v>4802.2445278611503</v>
      </c>
      <c r="K24" s="13">
        <v>-3.9493996020261928E-2</v>
      </c>
      <c r="L24" s="30">
        <v>-1.2383479033111922E-3</v>
      </c>
      <c r="M24">
        <v>16686.157085357103</v>
      </c>
      <c r="N24" s="23">
        <v>105.9647216796875</v>
      </c>
      <c r="O24" s="23">
        <v>-4.9391013115822302</v>
      </c>
      <c r="P24" s="18">
        <v>100.69050981976127</v>
      </c>
      <c r="Q24" s="9">
        <v>100.70923846044894</v>
      </c>
      <c r="R24" s="21">
        <v>102.55181776194055</v>
      </c>
      <c r="S24" s="31"/>
    </row>
    <row r="25" spans="1:19" x14ac:dyDescent="0.2">
      <c r="A25" s="32">
        <v>42705</v>
      </c>
      <c r="B25" s="27">
        <v>100.85216555162044</v>
      </c>
      <c r="C25" s="7">
        <v>10</v>
      </c>
      <c r="D25">
        <v>0.95485117912907924</v>
      </c>
      <c r="E25" s="11">
        <v>8.6040624999999995</v>
      </c>
      <c r="F25" s="23">
        <v>-2.3986381925100608</v>
      </c>
      <c r="G25" s="7">
        <v>47.983333333333327</v>
      </c>
      <c r="H25" s="23">
        <v>2070.055757575758</v>
      </c>
      <c r="I25" s="23">
        <v>31920.341468987026</v>
      </c>
      <c r="J25" s="23">
        <v>4814.7150285305979</v>
      </c>
      <c r="K25" s="14">
        <v>-1.7813233825850838</v>
      </c>
      <c r="L25" s="30">
        <v>-1.2488949216354062E-3</v>
      </c>
      <c r="M25">
        <v>19381.21728386989</v>
      </c>
      <c r="N25" s="23">
        <v>90.282335917154953</v>
      </c>
      <c r="O25" s="23">
        <v>-4.5919620550784703</v>
      </c>
      <c r="P25" s="18">
        <v>101.11033979017614</v>
      </c>
      <c r="Q25" s="9">
        <v>100.55474817558169</v>
      </c>
      <c r="R25" s="21">
        <v>102.4425399189586</v>
      </c>
      <c r="S25" s="31"/>
    </row>
    <row r="26" spans="1:19" x14ac:dyDescent="0.2">
      <c r="A26" s="32">
        <v>42795</v>
      </c>
      <c r="B26" s="27">
        <v>100.31306355416123</v>
      </c>
      <c r="C26" s="7">
        <v>9.9758064516129039</v>
      </c>
      <c r="D26">
        <v>0.57014747031172153</v>
      </c>
      <c r="E26" s="11">
        <v>8.2445161290322595</v>
      </c>
      <c r="F26" s="23">
        <v>-6.7543998731568022</v>
      </c>
      <c r="G26" s="7">
        <v>52.136666666666663</v>
      </c>
      <c r="H26" s="23">
        <v>2128.3797041847042</v>
      </c>
      <c r="I26" s="23">
        <v>32737.289611268454</v>
      </c>
      <c r="J26" s="23">
        <v>5178.9240281127359</v>
      </c>
      <c r="K26" s="13">
        <v>1.0456051967112778</v>
      </c>
      <c r="L26" s="30">
        <v>-2.4073402122500197E-4</v>
      </c>
      <c r="M26">
        <v>24787.810839885497</v>
      </c>
      <c r="N26" s="23">
        <v>105.34782409667969</v>
      </c>
      <c r="O26" s="23">
        <v>-2.8805182170414998</v>
      </c>
      <c r="P26" s="18">
        <v>101.11922250849756</v>
      </c>
      <c r="Q26" s="9">
        <v>100.48641760427672</v>
      </c>
      <c r="R26" s="21">
        <v>102.79182312736972</v>
      </c>
      <c r="S26" s="31"/>
    </row>
    <row r="27" spans="1:19" x14ac:dyDescent="0.2">
      <c r="A27" s="32">
        <v>42887</v>
      </c>
      <c r="B27" s="27">
        <v>100.70501171616162</v>
      </c>
      <c r="C27" s="7">
        <v>9.3510638297872344</v>
      </c>
      <c r="D27">
        <v>1.3395630187293728</v>
      </c>
      <c r="E27" s="11">
        <v>8.0875409836065586</v>
      </c>
      <c r="F27" s="23">
        <v>-2.8396531202176556</v>
      </c>
      <c r="G27" s="7">
        <v>48.633333333333333</v>
      </c>
      <c r="H27" s="23">
        <v>1939.6427619047618</v>
      </c>
      <c r="I27" s="23">
        <v>32243.439157183209</v>
      </c>
      <c r="J27" s="23">
        <v>5292.9229720261583</v>
      </c>
      <c r="K27" s="13">
        <v>-0.55814524081677819</v>
      </c>
      <c r="L27" s="30">
        <v>-1.1478048639358995E-3</v>
      </c>
      <c r="M27">
        <v>18147.859767182206</v>
      </c>
      <c r="N27" s="23">
        <v>116.27630106608073</v>
      </c>
      <c r="O27" s="23">
        <v>-2.2761687148292999</v>
      </c>
      <c r="P27" s="18">
        <v>100.98715425249486</v>
      </c>
      <c r="Q27" s="9">
        <v>100.55984287282907</v>
      </c>
      <c r="R27" s="21">
        <v>102.84207594366231</v>
      </c>
      <c r="S27" s="31"/>
    </row>
    <row r="28" spans="1:19" x14ac:dyDescent="0.2">
      <c r="A28" s="32">
        <v>42979</v>
      </c>
      <c r="B28" s="27">
        <v>100.56570923081991</v>
      </c>
      <c r="C28" s="7">
        <v>8.9105263157894736</v>
      </c>
      <c r="D28">
        <v>7.5947578968249552E-2</v>
      </c>
      <c r="E28" s="11">
        <v>7.9358461538461489</v>
      </c>
      <c r="F28" s="23">
        <v>3.2551627581379083</v>
      </c>
      <c r="G28" s="7">
        <v>51.036666666666669</v>
      </c>
      <c r="H28" s="23">
        <v>1981.8937405106969</v>
      </c>
      <c r="I28" s="23">
        <v>32847.77764814168</v>
      </c>
      <c r="J28" s="23">
        <v>5437.5800958808268</v>
      </c>
      <c r="K28" s="13">
        <v>5.0290524753457486</v>
      </c>
      <c r="L28" s="30">
        <v>-3.5600994176179237E-4</v>
      </c>
      <c r="M28">
        <v>17104.380270116715</v>
      </c>
      <c r="N28" s="23">
        <v>118.95984141031902</v>
      </c>
      <c r="O28" s="23">
        <v>-2.51593898808866</v>
      </c>
      <c r="P28" s="18">
        <v>100.99406433226233</v>
      </c>
      <c r="Q28" s="9">
        <v>100.78895160174091</v>
      </c>
      <c r="R28" s="21">
        <v>102.73249812672336</v>
      </c>
      <c r="S28" s="31"/>
    </row>
    <row r="29" spans="1:19" x14ac:dyDescent="0.2">
      <c r="A29" s="32">
        <v>43070</v>
      </c>
      <c r="B29" s="27">
        <v>99.779348966555062</v>
      </c>
      <c r="C29" s="7">
        <v>8.223684210526315</v>
      </c>
      <c r="D29">
        <v>0.53914583679668393</v>
      </c>
      <c r="E29" s="11">
        <v>7.3696874999999995</v>
      </c>
      <c r="F29" s="23">
        <v>-1.0000000000000009</v>
      </c>
      <c r="G29" s="7">
        <v>60.643333333333338</v>
      </c>
      <c r="H29" s="23">
        <v>2112.1519696969699</v>
      </c>
      <c r="I29" s="23">
        <v>32744.568905244076</v>
      </c>
      <c r="J29" s="23">
        <v>5660.5340491594307</v>
      </c>
      <c r="K29" s="14">
        <v>-4.4463108387094135</v>
      </c>
      <c r="L29" s="30">
        <v>-1.2424823888126024E-3</v>
      </c>
      <c r="M29">
        <v>23105.510943360816</v>
      </c>
      <c r="N29" s="23">
        <v>88.925280253092453</v>
      </c>
      <c r="O29" s="23">
        <v>-1.6450147752870501</v>
      </c>
      <c r="P29" s="18">
        <v>101.14402603724361</v>
      </c>
      <c r="Q29" s="9">
        <v>101.12711588541667</v>
      </c>
      <c r="R29" s="21">
        <v>102.45201523077444</v>
      </c>
      <c r="S29" s="31"/>
    </row>
    <row r="30" spans="1:19" x14ac:dyDescent="0.2">
      <c r="A30" s="32">
        <v>43160</v>
      </c>
      <c r="B30" s="27">
        <v>101.64656046708451</v>
      </c>
      <c r="C30" s="7">
        <v>7.580645161290323</v>
      </c>
      <c r="D30">
        <v>0.42623943819113386</v>
      </c>
      <c r="E30" s="11">
        <v>6.650333333333335</v>
      </c>
      <c r="F30" s="23">
        <v>-2.6365348399246646</v>
      </c>
      <c r="G30" s="7">
        <v>65.13666666666667</v>
      </c>
      <c r="H30" s="23">
        <v>2275.2067568922307</v>
      </c>
      <c r="I30" s="23">
        <v>33984.887051513608</v>
      </c>
      <c r="J30" s="23">
        <v>5150.3578164077935</v>
      </c>
      <c r="K30" s="15">
        <v>1.5260562649886698</v>
      </c>
      <c r="L30" s="30">
        <v>-1.5640197740794015E-3</v>
      </c>
      <c r="M30">
        <v>32820.294447976397</v>
      </c>
      <c r="N30" s="23">
        <v>89.626818339029953</v>
      </c>
      <c r="O30" s="23">
        <v>-3.3330643838123</v>
      </c>
      <c r="P30" s="18">
        <v>100</v>
      </c>
      <c r="Q30" s="9">
        <v>100.81328209874059</v>
      </c>
      <c r="R30" s="21">
        <v>103.15247424836562</v>
      </c>
      <c r="S30" s="31"/>
    </row>
    <row r="31" spans="1:19" x14ac:dyDescent="0.2">
      <c r="A31" s="32">
        <v>43252</v>
      </c>
      <c r="B31" s="27">
        <v>100.68640264626765</v>
      </c>
      <c r="C31" s="7">
        <v>7.25</v>
      </c>
      <c r="D31">
        <v>1.2699814242347784</v>
      </c>
      <c r="E31" s="11">
        <v>6.9210937499999998</v>
      </c>
      <c r="F31" s="23">
        <v>8.6161420784244935</v>
      </c>
      <c r="G31" s="7">
        <v>72.44</v>
      </c>
      <c r="H31" s="23">
        <v>2272.2257720057714</v>
      </c>
      <c r="I31" s="23">
        <v>34528.574095195916</v>
      </c>
      <c r="J31" s="23">
        <v>5404.1169581928089</v>
      </c>
      <c r="K31" s="15">
        <v>1.098601113056993</v>
      </c>
      <c r="L31" s="30">
        <v>-7.348893414479995E-4</v>
      </c>
      <c r="M31">
        <v>39450.718031769095</v>
      </c>
      <c r="N31" s="23">
        <v>117.63289388020833</v>
      </c>
      <c r="O31" s="23">
        <v>-3.18897683691165</v>
      </c>
      <c r="P31" s="18">
        <v>100.72073640346346</v>
      </c>
      <c r="Q31" s="9">
        <v>100.53082952090642</v>
      </c>
      <c r="R31" s="21">
        <v>103.04329908755383</v>
      </c>
      <c r="S31" s="31"/>
    </row>
    <row r="32" spans="1:19" x14ac:dyDescent="0.2">
      <c r="A32" s="32">
        <v>43344</v>
      </c>
      <c r="B32" s="27">
        <v>100.28314682248924</v>
      </c>
      <c r="C32" s="7">
        <v>7.2973684210526306</v>
      </c>
      <c r="D32">
        <v>1.1739159466709337</v>
      </c>
      <c r="E32" s="11">
        <v>7.8612307692307706</v>
      </c>
      <c r="F32" s="23">
        <v>6.0547191193135896</v>
      </c>
      <c r="G32" s="7">
        <v>74.216666666666669</v>
      </c>
      <c r="H32" s="23">
        <v>2329.5582345191046</v>
      </c>
      <c r="I32" s="23">
        <v>35027.423544682024</v>
      </c>
      <c r="J32" s="23">
        <v>5495.8851421258596</v>
      </c>
      <c r="K32" s="15">
        <v>1.2408776008007585</v>
      </c>
      <c r="L32" s="30">
        <v>-7.4305601448970476E-4</v>
      </c>
      <c r="M32">
        <v>45380.338908896709</v>
      </c>
      <c r="N32" s="23">
        <v>99.274673461914062</v>
      </c>
      <c r="O32" s="23">
        <v>-3.0855897699414299</v>
      </c>
      <c r="P32" s="18">
        <v>100.14486801709614</v>
      </c>
      <c r="Q32" s="9">
        <v>100.62380586089677</v>
      </c>
      <c r="R32" s="21">
        <v>102.58173205927483</v>
      </c>
      <c r="S32" s="31"/>
    </row>
    <row r="33" spans="1:19" x14ac:dyDescent="0.2">
      <c r="A33" s="32">
        <v>43435</v>
      </c>
      <c r="B33" s="27">
        <v>100.30418014312703</v>
      </c>
      <c r="C33" s="7">
        <v>7.55</v>
      </c>
      <c r="D33">
        <v>1.3325078448328531</v>
      </c>
      <c r="E33" s="11">
        <v>8.2515384615384608</v>
      </c>
      <c r="F33" s="23">
        <v>1.4654251259349715</v>
      </c>
      <c r="G33" s="7">
        <v>67.216666666666669</v>
      </c>
      <c r="H33" s="23">
        <v>2379.3321118012423</v>
      </c>
      <c r="I33" s="23">
        <v>34879.042187046121</v>
      </c>
      <c r="J33" s="23">
        <v>5481.0797665395385</v>
      </c>
      <c r="K33" s="14">
        <v>-0.12765307750789814</v>
      </c>
      <c r="L33" s="30">
        <v>-4.1407248567479902E-4</v>
      </c>
      <c r="M33">
        <v>45751.682329688294</v>
      </c>
      <c r="N33" s="23">
        <v>87.677243550618485</v>
      </c>
      <c r="O33" s="23">
        <v>-4.0144804371841696</v>
      </c>
      <c r="P33" s="18">
        <v>100.72506442556627</v>
      </c>
      <c r="Q33" s="9">
        <v>100.14154525995995</v>
      </c>
      <c r="R33" s="21">
        <v>102.09636643213111</v>
      </c>
      <c r="S33" s="31"/>
    </row>
    <row r="34" spans="1:19" x14ac:dyDescent="0.2">
      <c r="A34" s="32">
        <v>43525</v>
      </c>
      <c r="B34" s="27">
        <v>100.36460241507315</v>
      </c>
      <c r="C34" s="7">
        <v>7.75</v>
      </c>
      <c r="D34">
        <v>1.3626028705248094</v>
      </c>
      <c r="E34" s="11">
        <v>7.9488333333333347</v>
      </c>
      <c r="F34" s="23">
        <v>-0.54851812847900305</v>
      </c>
      <c r="G34" s="7">
        <v>63.226666666666667</v>
      </c>
      <c r="H34" s="23">
        <v>2479.6995000000002</v>
      </c>
      <c r="I34" s="23">
        <v>36014.015437623166</v>
      </c>
      <c r="J34" s="23">
        <v>5475.2136974100258</v>
      </c>
      <c r="K34" s="15">
        <v>-0.56622215262385556</v>
      </c>
      <c r="L34" s="30">
        <v>-3.7300016630199552E-4</v>
      </c>
      <c r="M34">
        <v>37729.477141556708</v>
      </c>
      <c r="N34" s="23">
        <v>88.850852966308594</v>
      </c>
      <c r="O34" s="23">
        <v>-2.8066157601803199</v>
      </c>
      <c r="P34" s="18">
        <v>101.02016564677174</v>
      </c>
      <c r="Q34" s="9">
        <v>100.6239873134071</v>
      </c>
      <c r="R34" s="21">
        <v>103.18228424397509</v>
      </c>
      <c r="S34" s="31"/>
    </row>
    <row r="35" spans="1:19" x14ac:dyDescent="0.2">
      <c r="A35" s="32">
        <v>43617</v>
      </c>
      <c r="B35" s="27">
        <v>100.79447667421077</v>
      </c>
      <c r="C35" s="7">
        <v>7.7021276595744679</v>
      </c>
      <c r="D35">
        <v>0.72083733988996812</v>
      </c>
      <c r="E35" s="11">
        <v>7.6277419354838729</v>
      </c>
      <c r="F35" s="23">
        <v>-2.3501862177673916</v>
      </c>
      <c r="G35" s="7">
        <v>68.13333333333334</v>
      </c>
      <c r="H35" s="23">
        <v>2632.6906034024455</v>
      </c>
      <c r="I35" s="23">
        <v>35743.838577652379</v>
      </c>
      <c r="J35" s="23">
        <v>5792.7217726029758</v>
      </c>
      <c r="K35" s="15">
        <v>0.96179405308944921</v>
      </c>
      <c r="L35" s="30">
        <v>-7.7606426581060543E-4</v>
      </c>
      <c r="M35">
        <v>33044.582324859395</v>
      </c>
      <c r="N35" s="23">
        <v>97.437934875488281</v>
      </c>
      <c r="O35" s="23">
        <v>-2.43716957399104</v>
      </c>
      <c r="P35" s="18">
        <v>100.58703246074236</v>
      </c>
      <c r="Q35" s="9">
        <v>100.83547054562541</v>
      </c>
      <c r="R35" s="21">
        <v>103.0595895070129</v>
      </c>
      <c r="S35" s="31"/>
    </row>
    <row r="36" spans="1:19" x14ac:dyDescent="0.2">
      <c r="A36" s="32">
        <v>43709</v>
      </c>
      <c r="B36" s="27">
        <v>101.44696159453368</v>
      </c>
      <c r="C36" s="7">
        <v>7.2473684210526317</v>
      </c>
      <c r="D36">
        <v>0.51424758756331013</v>
      </c>
      <c r="E36" s="11">
        <v>7.0142424242424237</v>
      </c>
      <c r="F36" s="23">
        <v>1.4097205654994838E-2</v>
      </c>
      <c r="G36" s="7">
        <v>61.26</v>
      </c>
      <c r="H36" s="23">
        <v>2740.6300859526941</v>
      </c>
      <c r="I36" s="23">
        <v>35978.468927370704</v>
      </c>
      <c r="J36" s="23">
        <v>6085.6901880551286</v>
      </c>
      <c r="K36" s="15">
        <v>0.5064611112347619</v>
      </c>
      <c r="L36" s="30">
        <v>-2.5330358744449552E-4</v>
      </c>
      <c r="M36">
        <v>31908.3437913542</v>
      </c>
      <c r="N36" s="23">
        <v>95.76455434163411</v>
      </c>
      <c r="O36" s="23">
        <v>-1.98103249031927</v>
      </c>
      <c r="P36" s="18">
        <v>100.29469029529267</v>
      </c>
      <c r="Q36" s="9">
        <v>101.16977230697543</v>
      </c>
      <c r="R36" s="21">
        <v>102.37946075718932</v>
      </c>
      <c r="S36" s="31"/>
    </row>
    <row r="37" spans="1:19" x14ac:dyDescent="0.2">
      <c r="A37" s="32">
        <v>43800</v>
      </c>
      <c r="B37" s="27">
        <v>99.704762542823516</v>
      </c>
      <c r="C37" s="7">
        <v>6.5736842105263156</v>
      </c>
      <c r="D37">
        <v>0.41345502116842958</v>
      </c>
      <c r="E37" s="11">
        <v>6.1509375000000004</v>
      </c>
      <c r="F37" s="23">
        <v>-1.3096161918436766</v>
      </c>
      <c r="G37" s="7">
        <v>62.086666666666666</v>
      </c>
      <c r="H37" s="23">
        <v>2900.6689941338859</v>
      </c>
      <c r="I37" s="23">
        <v>36345.772102445088</v>
      </c>
      <c r="J37" s="23">
        <v>6243.6518300036832</v>
      </c>
      <c r="K37" s="14">
        <v>-0.47248439170537276</v>
      </c>
      <c r="L37" s="30">
        <v>-2.2133251344410353E-4</v>
      </c>
      <c r="M37">
        <v>26841.175094558101</v>
      </c>
      <c r="N37" s="23">
        <v>81.731669108072921</v>
      </c>
      <c r="O37" s="23">
        <v>-2.4162255529828398</v>
      </c>
      <c r="P37" s="18">
        <v>99.852360162058375</v>
      </c>
      <c r="Q37" s="9">
        <v>100.68175384895868</v>
      </c>
      <c r="R37" s="21">
        <v>101.66873413256113</v>
      </c>
      <c r="S37" s="31"/>
    </row>
    <row r="38" spans="1:19" x14ac:dyDescent="0.2">
      <c r="A38" s="32">
        <v>43891</v>
      </c>
      <c r="B38" s="27">
        <v>99.314234820606615</v>
      </c>
      <c r="C38" s="7">
        <v>6.1010638297872344</v>
      </c>
      <c r="D38">
        <v>0.89501117079091586</v>
      </c>
      <c r="E38" s="11">
        <v>6.0349999999999993</v>
      </c>
      <c r="F38" s="23">
        <v>3.7265715980751901</v>
      </c>
      <c r="G38" s="7">
        <v>48.359999999999992</v>
      </c>
      <c r="H38" s="23">
        <v>2886.6587180451129</v>
      </c>
      <c r="I38" s="23">
        <v>37486.031514165654</v>
      </c>
      <c r="J38" s="23">
        <v>5924.8054954590471</v>
      </c>
      <c r="K38" s="15">
        <v>-0.70884855793123169</v>
      </c>
      <c r="L38" s="30">
        <v>-2.5951264779959792E-4</v>
      </c>
      <c r="M38">
        <v>25116.619998106704</v>
      </c>
      <c r="N38" s="23">
        <v>98.638844807942704</v>
      </c>
      <c r="O38" s="23">
        <v>-3.2995407106828698</v>
      </c>
      <c r="P38" s="18">
        <v>95.280249660682074</v>
      </c>
      <c r="Q38" s="9">
        <v>98.683846864963257</v>
      </c>
      <c r="R38" s="21">
        <v>80.356218036201113</v>
      </c>
      <c r="S38" s="31"/>
    </row>
    <row r="39" spans="1:19" x14ac:dyDescent="0.2">
      <c r="A39" s="32">
        <v>43983</v>
      </c>
      <c r="B39" s="27">
        <v>92.384661492760642</v>
      </c>
      <c r="C39" s="7">
        <v>5.4840425531914896</v>
      </c>
      <c r="D39">
        <v>1.4210562477086519</v>
      </c>
      <c r="E39" s="11">
        <v>5.269344262295081</v>
      </c>
      <c r="F39" s="23">
        <v>9.4087135987701807</v>
      </c>
      <c r="G39" s="7">
        <v>30.396666666666665</v>
      </c>
      <c r="H39" s="23">
        <v>2679.7871874003185</v>
      </c>
      <c r="I39" s="23">
        <v>38942.604322223582</v>
      </c>
      <c r="J39" s="23">
        <v>6049.3928399847273</v>
      </c>
      <c r="K39" s="15">
        <v>-2.3484283349329829</v>
      </c>
      <c r="L39" s="30">
        <v>1.5731077425683804E-2</v>
      </c>
      <c r="M39">
        <v>15059.238985498101</v>
      </c>
      <c r="N39" s="23">
        <v>69.691492716471359</v>
      </c>
      <c r="O39" s="23">
        <v>-8.3399531420515896</v>
      </c>
      <c r="P39" s="18">
        <v>84.152258298155232</v>
      </c>
      <c r="Q39" s="9">
        <v>92.123307515500358</v>
      </c>
      <c r="R39" s="21">
        <v>121.59974139648006</v>
      </c>
      <c r="S39" s="31"/>
    </row>
    <row r="40" spans="1:19" x14ac:dyDescent="0.2">
      <c r="A40" s="32">
        <v>44075</v>
      </c>
      <c r="B40" s="27">
        <v>106.49556286665876</v>
      </c>
      <c r="C40" s="7">
        <v>4.310526315789474</v>
      </c>
      <c r="D40">
        <v>1.0032185946507566</v>
      </c>
      <c r="E40" s="11">
        <v>4.8103076923076911</v>
      </c>
      <c r="F40" s="23">
        <v>1.7247054267854001</v>
      </c>
      <c r="G40" s="7">
        <v>43.109999999999992</v>
      </c>
      <c r="H40" s="23">
        <v>2918.8498196248197</v>
      </c>
      <c r="I40" s="23">
        <v>39497.353138768958</v>
      </c>
      <c r="J40" s="23">
        <v>6445.3065586412677</v>
      </c>
      <c r="K40" s="15">
        <v>-1.1674616855178979</v>
      </c>
      <c r="L40" s="30">
        <v>4.076516858070498E-3</v>
      </c>
      <c r="M40">
        <v>17256.154322856091</v>
      </c>
      <c r="N40" s="23">
        <v>70.772237141927079</v>
      </c>
      <c r="O40" s="23">
        <v>-5.17433277211454</v>
      </c>
      <c r="P40" s="18">
        <v>114.5963411971901</v>
      </c>
      <c r="Q40" s="9">
        <v>107.76234406122236</v>
      </c>
      <c r="R40" s="21">
        <v>105.67118791549444</v>
      </c>
      <c r="S40" s="31"/>
    </row>
    <row r="41" spans="1:19" x14ac:dyDescent="0.2">
      <c r="A41" s="32">
        <v>44166</v>
      </c>
      <c r="B41" s="27">
        <v>100.87881083860766</v>
      </c>
      <c r="C41" s="7">
        <v>4.25</v>
      </c>
      <c r="D41">
        <v>1.5480019567496894</v>
      </c>
      <c r="E41" s="11">
        <v>4.8829687500000016</v>
      </c>
      <c r="F41" s="23">
        <v>3.606819921392268</v>
      </c>
      <c r="G41" s="7">
        <v>44.406666666666666</v>
      </c>
      <c r="H41" s="23">
        <v>3019.5558787878781</v>
      </c>
      <c r="I41" s="23">
        <v>40354.385324102383</v>
      </c>
      <c r="J41" s="23">
        <v>7620.6357616200594</v>
      </c>
      <c r="K41" s="14">
        <v>-1.2746454439340731</v>
      </c>
      <c r="L41" s="30">
        <v>-4.6634919964208968E-3</v>
      </c>
      <c r="M41">
        <v>18390.042068430092</v>
      </c>
      <c r="N41" s="23">
        <v>70.072642008463546</v>
      </c>
      <c r="O41" s="23">
        <v>-3.79424324666914</v>
      </c>
      <c r="P41" s="18">
        <v>100.56608418903886</v>
      </c>
      <c r="Q41" s="9">
        <v>101.133329117803</v>
      </c>
      <c r="R41" s="21">
        <v>104.47834805726873</v>
      </c>
      <c r="S41" s="31"/>
    </row>
    <row r="42" spans="1:19" x14ac:dyDescent="0.2">
      <c r="A42" s="32">
        <v>44256</v>
      </c>
      <c r="B42" s="27">
        <v>101.76201372844302</v>
      </c>
      <c r="C42" s="7">
        <v>4.2876344086021509</v>
      </c>
      <c r="D42">
        <v>1.5266592851842509</v>
      </c>
      <c r="E42" s="11">
        <v>5.5655737704918034</v>
      </c>
      <c r="F42" s="23">
        <v>-2.454201062616701</v>
      </c>
      <c r="G42" s="7">
        <v>59.603333333333332</v>
      </c>
      <c r="H42" s="23">
        <v>3434.9292232854873</v>
      </c>
      <c r="I42" s="23">
        <v>41293.992410938379</v>
      </c>
      <c r="J42" s="23">
        <v>8130.7713819764804</v>
      </c>
      <c r="K42" s="15">
        <v>1.1517412058046701</v>
      </c>
      <c r="L42" s="30">
        <v>-5.505419977060901E-3</v>
      </c>
      <c r="M42">
        <v>26189.65227290061</v>
      </c>
      <c r="N42" s="23">
        <v>76.664756774902344</v>
      </c>
      <c r="O42" s="23">
        <v>-2.0926450591569101</v>
      </c>
      <c r="P42" s="18">
        <v>101.13669705159001</v>
      </c>
      <c r="Q42" s="9">
        <v>101.39573583943746</v>
      </c>
      <c r="R42" s="21">
        <v>100</v>
      </c>
      <c r="S42" s="31"/>
    </row>
    <row r="43" spans="1:19" x14ac:dyDescent="0.2">
      <c r="A43" s="32">
        <v>44348</v>
      </c>
      <c r="B43" s="27">
        <v>101.76708136120665</v>
      </c>
      <c r="C43" s="7">
        <v>4.9946808510638299</v>
      </c>
      <c r="D43">
        <v>2.2315280758030021</v>
      </c>
      <c r="E43" s="11">
        <v>6.3935937499999982</v>
      </c>
      <c r="F43" s="23">
        <v>-0.18577359028649765</v>
      </c>
      <c r="G43" s="7">
        <v>66.843333333333334</v>
      </c>
      <c r="H43" s="23">
        <v>3680.6374696969701</v>
      </c>
      <c r="I43" s="23">
        <v>40818.003277303134</v>
      </c>
      <c r="J43" s="23">
        <v>8458.3209899223129</v>
      </c>
      <c r="K43" s="15">
        <v>1.0803637108362811</v>
      </c>
      <c r="L43" s="30">
        <v>-4.6855027901434986E-3</v>
      </c>
      <c r="M43">
        <v>35937.458788392891</v>
      </c>
      <c r="N43" s="23">
        <v>85.10015869140625</v>
      </c>
      <c r="O43" s="23">
        <v>-0.94252491288287998</v>
      </c>
      <c r="P43" s="18">
        <v>103.15092422700752</v>
      </c>
      <c r="Q43" s="9">
        <v>101.70191774064254</v>
      </c>
      <c r="R43" s="21">
        <v>105.57729572836547</v>
      </c>
      <c r="S43" s="31"/>
    </row>
    <row r="44" spans="1:19" x14ac:dyDescent="0.2">
      <c r="A44" s="32">
        <v>44440</v>
      </c>
      <c r="B44" s="27">
        <v>100.69092664293176</v>
      </c>
      <c r="C44" s="7">
        <v>6.3263157894736839</v>
      </c>
      <c r="D44">
        <v>1.918545624058976</v>
      </c>
      <c r="E44" s="11">
        <v>6.9113636363636388</v>
      </c>
      <c r="F44" s="23">
        <v>-0.9890875569577795</v>
      </c>
      <c r="G44" s="7">
        <v>70.876666666666665</v>
      </c>
      <c r="H44" s="23">
        <v>3900.0048484848489</v>
      </c>
      <c r="I44" s="23">
        <v>40307.230719794337</v>
      </c>
      <c r="J44" s="23">
        <v>8608.6497470889608</v>
      </c>
      <c r="K44" s="15">
        <v>0.81551499937230032</v>
      </c>
      <c r="L44" s="30">
        <v>-5.1111820448658026E-3</v>
      </c>
      <c r="M44">
        <v>49905.293613576607</v>
      </c>
      <c r="N44" s="23">
        <v>76.201428731282547</v>
      </c>
      <c r="O44" s="23">
        <v>-0.10981829610980499</v>
      </c>
      <c r="P44" s="18">
        <v>102.63474554909226</v>
      </c>
      <c r="Q44" s="9">
        <v>100.82505864959026</v>
      </c>
      <c r="R44" s="21">
        <v>100.61429928665282</v>
      </c>
      <c r="S44" s="31"/>
    </row>
    <row r="45" spans="1:19" x14ac:dyDescent="0.2">
      <c r="A45" s="32">
        <v>44531</v>
      </c>
      <c r="B45" s="27">
        <v>101.02698170567703</v>
      </c>
      <c r="C45" s="7">
        <v>7.5026315789473683</v>
      </c>
      <c r="D45">
        <v>2.466090574701596</v>
      </c>
      <c r="E45" s="11">
        <v>8.3131249999999994</v>
      </c>
      <c r="F45" s="23">
        <v>-1.1885802645584698</v>
      </c>
      <c r="G45" s="7">
        <v>77.959999999999994</v>
      </c>
      <c r="H45" s="23">
        <v>4018.2116233766228</v>
      </c>
      <c r="I45" s="23">
        <v>40544.111185253998</v>
      </c>
      <c r="J45" s="23">
        <v>8602.2255867757867</v>
      </c>
      <c r="K45" s="14">
        <v>-0.60827800480051197</v>
      </c>
      <c r="L45" s="30">
        <v>-2.4375467696668008E-3</v>
      </c>
      <c r="M45">
        <v>58295.530339792196</v>
      </c>
      <c r="N45" s="23">
        <v>90.314600626627609</v>
      </c>
      <c r="O45" s="23">
        <v>0.14135524300173399</v>
      </c>
      <c r="P45" s="18">
        <v>101.19207598621153</v>
      </c>
      <c r="Q45" s="9">
        <v>101.71571575275931</v>
      </c>
      <c r="R45" s="21">
        <v>102.87533019439303</v>
      </c>
      <c r="S45" s="31"/>
    </row>
    <row r="46" spans="1:19" x14ac:dyDescent="0.2">
      <c r="A46" s="32">
        <v>44621</v>
      </c>
      <c r="B46" s="27">
        <v>100.02476480812206</v>
      </c>
      <c r="C46" s="7">
        <v>12.88709677419355</v>
      </c>
      <c r="D46">
        <v>9.2505986904671609</v>
      </c>
      <c r="E46" s="11">
        <v>10.623404255319148</v>
      </c>
      <c r="F46" s="23">
        <v>16.724982987246626</v>
      </c>
      <c r="G46" s="7">
        <v>88.946666666666673</v>
      </c>
      <c r="H46" s="23">
        <v>3149.6024338624338</v>
      </c>
      <c r="I46" s="23">
        <v>39759.575674222695</v>
      </c>
      <c r="J46" s="23">
        <v>7781.1542900321319</v>
      </c>
      <c r="K46" s="15">
        <v>1.2297281943009126</v>
      </c>
      <c r="L46" s="30">
        <v>-1.4609149314510983E-3</v>
      </c>
      <c r="M46">
        <v>83977.072193209198</v>
      </c>
      <c r="N46" s="23">
        <v>224.59630839029947</v>
      </c>
      <c r="O46" s="23">
        <v>-0.51168294251263502</v>
      </c>
      <c r="P46" s="18">
        <v>101.05141101983855</v>
      </c>
      <c r="Q46" s="9">
        <v>99.745323734463611</v>
      </c>
      <c r="R46" s="21">
        <v>100.20825605836535</v>
      </c>
      <c r="S46" s="31"/>
    </row>
    <row r="47" spans="1:19" x14ac:dyDescent="0.2">
      <c r="A47" s="32">
        <v>44713</v>
      </c>
      <c r="B47" s="27">
        <v>95.106279486749585</v>
      </c>
      <c r="C47" s="7">
        <v>13.5531914893617</v>
      </c>
      <c r="D47">
        <v>1.5367668003997803</v>
      </c>
      <c r="E47" s="11">
        <v>10.014166666666664</v>
      </c>
      <c r="F47" s="23">
        <v>-22.102304041957332</v>
      </c>
      <c r="G47" s="7">
        <v>78.86</v>
      </c>
      <c r="H47" s="23">
        <v>2393.1264285714283</v>
      </c>
      <c r="I47" s="23">
        <v>38960.81333230959</v>
      </c>
      <c r="J47" s="23">
        <v>7701.6313092440441</v>
      </c>
      <c r="K47" s="15">
        <v>9.3938690976541159E-2</v>
      </c>
      <c r="L47" s="30">
        <v>-1.3176896778282021E-3</v>
      </c>
      <c r="M47">
        <v>93630.584715093195</v>
      </c>
      <c r="N47" s="23">
        <v>154.70296732584634</v>
      </c>
      <c r="O47" s="23">
        <v>-3.2217364052045498</v>
      </c>
      <c r="P47" s="18">
        <v>101.36127686754244</v>
      </c>
      <c r="Q47" s="9">
        <v>100.15638749447173</v>
      </c>
      <c r="R47" s="21">
        <v>98.540749799034216</v>
      </c>
      <c r="S47" s="31"/>
    </row>
    <row r="48" spans="1:19" x14ac:dyDescent="0.2">
      <c r="A48" s="32">
        <v>44805</v>
      </c>
      <c r="B48" s="27">
        <v>101.12501794054964</v>
      </c>
      <c r="C48" s="7">
        <v>8.2473684210526308</v>
      </c>
      <c r="D48">
        <v>-7.3038205846032156E-2</v>
      </c>
      <c r="E48" s="11">
        <v>8.3951515151515181</v>
      </c>
      <c r="F48" s="23">
        <v>-10.007029706570359</v>
      </c>
      <c r="G48" s="7">
        <v>73.796666666666667</v>
      </c>
      <c r="H48" s="23">
        <v>2207.2663717924588</v>
      </c>
      <c r="I48" s="23">
        <v>38712.008749579611</v>
      </c>
      <c r="J48" s="23">
        <v>7599.2165936689116</v>
      </c>
      <c r="K48" s="15">
        <v>-0.49051810238159038</v>
      </c>
      <c r="L48" s="30">
        <v>-6.10016044840398E-4</v>
      </c>
      <c r="M48">
        <v>66920.718390764028</v>
      </c>
      <c r="N48" s="23">
        <v>127.34195200602214</v>
      </c>
      <c r="O48" s="23">
        <v>-2.3543692124589999</v>
      </c>
      <c r="P48" s="18">
        <v>100.76307131075018</v>
      </c>
      <c r="Q48" s="9">
        <v>100.72199207902763</v>
      </c>
      <c r="R48" s="21">
        <v>106.62416205512704</v>
      </c>
      <c r="S48" s="31"/>
    </row>
    <row r="49" spans="1:19" x14ac:dyDescent="0.2">
      <c r="A49" s="32">
        <v>44896</v>
      </c>
      <c r="B49" s="27">
        <v>101.63434540801781</v>
      </c>
      <c r="C49" s="7">
        <v>7.5</v>
      </c>
      <c r="D49">
        <v>0.74911196472031705</v>
      </c>
      <c r="E49" s="11">
        <v>8.5542187500000004</v>
      </c>
      <c r="F49" s="23">
        <v>4.9233675194106485</v>
      </c>
      <c r="G49" s="7">
        <v>62.52</v>
      </c>
      <c r="H49" s="23">
        <v>2129.2488311688307</v>
      </c>
      <c r="I49" s="23">
        <v>39999.995695939113</v>
      </c>
      <c r="J49" s="23">
        <v>7687.8464448623363</v>
      </c>
      <c r="K49" s="14">
        <v>-2.4522138563820155</v>
      </c>
      <c r="L49" s="30">
        <v>-2.0893047016926005E-3</v>
      </c>
      <c r="M49">
        <v>51291.763124002711</v>
      </c>
      <c r="N49" s="23">
        <v>123.69154612223308</v>
      </c>
      <c r="O49" s="23">
        <v>-1.5350169200758199</v>
      </c>
      <c r="P49" s="18">
        <v>99.846622666539218</v>
      </c>
      <c r="Q49" s="9">
        <v>100.69015077557219</v>
      </c>
      <c r="R49" s="21">
        <v>101.06814613138923</v>
      </c>
      <c r="S49" s="31"/>
    </row>
    <row r="50" spans="1:19" x14ac:dyDescent="0.2">
      <c r="A50" s="32">
        <v>44986</v>
      </c>
      <c r="B50" s="27">
        <v>101.31580814366552</v>
      </c>
      <c r="C50" s="7">
        <v>7.5</v>
      </c>
      <c r="D50">
        <v>1.0927759856251829</v>
      </c>
      <c r="E50" s="11">
        <v>8.6458064516129038</v>
      </c>
      <c r="F50" s="23">
        <v>16.674074085959223</v>
      </c>
      <c r="G50" s="7">
        <v>49.013333333333343</v>
      </c>
      <c r="H50" s="23">
        <v>2251.7166731221992</v>
      </c>
      <c r="I50" s="23">
        <v>43466.199909278061</v>
      </c>
      <c r="J50" s="23">
        <v>8613.0883813310156</v>
      </c>
      <c r="K50" s="15">
        <v>0.187428269172701</v>
      </c>
      <c r="L50" s="30">
        <v>-2.5445364263043E-3</v>
      </c>
      <c r="M50">
        <v>20863.275269419712</v>
      </c>
      <c r="N50" s="23">
        <v>110.21379852294922</v>
      </c>
      <c r="O50" s="23">
        <v>1.81496717859176</v>
      </c>
      <c r="P50" s="18">
        <v>100</v>
      </c>
      <c r="Q50" s="9">
        <v>100.72402292814084</v>
      </c>
      <c r="R50" s="21">
        <v>103.43515795854779</v>
      </c>
      <c r="S50" s="31"/>
    </row>
    <row r="51" spans="1:19" x14ac:dyDescent="0.2">
      <c r="A51" s="32">
        <v>45078</v>
      </c>
      <c r="B51" s="27">
        <v>101.36991565713573</v>
      </c>
      <c r="C51" s="7">
        <v>7.5</v>
      </c>
      <c r="D51">
        <v>1.158189979545976</v>
      </c>
      <c r="E51" s="11">
        <v>8.7240322580645167</v>
      </c>
      <c r="F51" s="23">
        <v>11.349065555509718</v>
      </c>
      <c r="G51" s="7">
        <v>55.973333333333336</v>
      </c>
      <c r="H51" s="23">
        <v>2650.5140634920635</v>
      </c>
      <c r="I51" s="23">
        <v>44259.11876316469</v>
      </c>
      <c r="J51" s="23">
        <v>8819.1772822983876</v>
      </c>
      <c r="K51" s="15">
        <v>-0.25107461070263615</v>
      </c>
      <c r="L51" s="30">
        <v>-2.0535951283989994E-3</v>
      </c>
      <c r="M51">
        <v>18117.296225239508</v>
      </c>
      <c r="N51" s="23">
        <v>108.60209401448567</v>
      </c>
      <c r="O51" s="23">
        <v>2.7234564197869702</v>
      </c>
      <c r="P51" s="18">
        <v>100.30644791225464</v>
      </c>
      <c r="Q51" s="9">
        <v>100.62790780584325</v>
      </c>
      <c r="R51" s="21">
        <v>102.83572289478121</v>
      </c>
      <c r="S51" s="31"/>
    </row>
    <row r="52" spans="1:19" x14ac:dyDescent="0.2">
      <c r="A52" s="32">
        <v>45170</v>
      </c>
      <c r="B52" s="27">
        <v>101.7667070257877</v>
      </c>
      <c r="C52" s="7">
        <v>10.273684210526319</v>
      </c>
      <c r="D52">
        <v>3.023121506337656</v>
      </c>
      <c r="E52" s="11">
        <v>10.672153846153849</v>
      </c>
      <c r="F52" s="23">
        <v>16.180744154912261</v>
      </c>
      <c r="G52" s="7">
        <v>73.706666666666663</v>
      </c>
      <c r="H52" s="23">
        <v>3058.6000621118014</v>
      </c>
      <c r="I52" s="23">
        <v>45027.482683091555</v>
      </c>
      <c r="J52" s="23">
        <v>8887.7095091059982</v>
      </c>
      <c r="K52" s="15">
        <v>0.54050831254341281</v>
      </c>
      <c r="L52" s="30">
        <v>-2.0922948412569033E-3</v>
      </c>
      <c r="M52">
        <v>24530.483949122514</v>
      </c>
      <c r="N52" s="23">
        <v>102.40825907389323</v>
      </c>
      <c r="O52" s="23">
        <v>3.6594430397901001</v>
      </c>
      <c r="P52" s="18">
        <v>100</v>
      </c>
      <c r="Q52" s="9">
        <v>101.15365027346603</v>
      </c>
      <c r="R52" s="21">
        <v>103.53549205220105</v>
      </c>
      <c r="S52" s="31"/>
    </row>
    <row r="53" spans="1:19" x14ac:dyDescent="0.2">
      <c r="A53" s="32">
        <v>45261</v>
      </c>
      <c r="B53" s="27">
        <v>100.37459349875979</v>
      </c>
      <c r="C53" s="7">
        <v>14.6421052631579</v>
      </c>
      <c r="D53">
        <v>2.2252098784742991</v>
      </c>
      <c r="E53" s="11">
        <v>12.147076923076922</v>
      </c>
      <c r="F53" s="23">
        <v>-1.4238151527778964</v>
      </c>
      <c r="G53" s="7">
        <v>72.536666666666676</v>
      </c>
      <c r="H53" s="23">
        <v>3166.3903030303031</v>
      </c>
      <c r="I53" s="23">
        <v>45462.683798633589</v>
      </c>
      <c r="J53" s="23">
        <v>8761.7539116786756</v>
      </c>
      <c r="K53" s="14">
        <v>-2.6878405692119554</v>
      </c>
      <c r="L53" s="30">
        <v>-1.375699660525398E-3</v>
      </c>
      <c r="M53">
        <v>23328.168242435699</v>
      </c>
      <c r="N53" s="23">
        <v>165.62086995442709</v>
      </c>
      <c r="O53" s="23">
        <v>3.7405274777179698</v>
      </c>
      <c r="P53" s="18">
        <v>100.15353040403957</v>
      </c>
      <c r="Q53" s="9">
        <v>100.84409614290092</v>
      </c>
      <c r="R53" s="21">
        <v>102.0205337078329</v>
      </c>
      <c r="S53" s="31"/>
    </row>
    <row r="54" spans="1:19" x14ac:dyDescent="0.2">
      <c r="A54" s="32">
        <v>45352</v>
      </c>
      <c r="B54" s="27">
        <v>102.2970084411245</v>
      </c>
      <c r="C54" s="7">
        <v>16</v>
      </c>
      <c r="D54">
        <v>1.2945515490927928</v>
      </c>
      <c r="E54" s="11">
        <v>12.680163934426227</v>
      </c>
      <c r="F54" s="23">
        <v>-2.1333566263137427</v>
      </c>
      <c r="G54" s="7">
        <v>67.603333333333339</v>
      </c>
      <c r="H54" s="23">
        <v>3232.1509047619052</v>
      </c>
      <c r="I54" s="23">
        <v>47572.257504625864</v>
      </c>
      <c r="J54" s="23">
        <v>8831.128152319021</v>
      </c>
      <c r="K54" s="15">
        <v>1.1530378784988287</v>
      </c>
      <c r="L54" s="30">
        <v>-1.870374161746602E-3</v>
      </c>
      <c r="M54">
        <v>26561.05879317451</v>
      </c>
      <c r="N54" s="23">
        <v>146.72833251953125</v>
      </c>
      <c r="O54" s="23">
        <v>3.56568102350314</v>
      </c>
      <c r="P54" s="18">
        <v>100.46105180333086</v>
      </c>
      <c r="Q54" s="9">
        <v>100.20969184415944</v>
      </c>
      <c r="R54" s="21">
        <v>102.94481562729376</v>
      </c>
      <c r="S54" s="31"/>
    </row>
    <row r="55" spans="1:19" x14ac:dyDescent="0.2">
      <c r="A55" s="32">
        <v>45444</v>
      </c>
      <c r="B55" s="27">
        <v>100.59982394325304</v>
      </c>
      <c r="C55" s="7">
        <v>16</v>
      </c>
      <c r="D55">
        <v>1.9773169111366951</v>
      </c>
      <c r="E55" s="11">
        <v>14.690793650793651</v>
      </c>
      <c r="F55" s="23">
        <v>-0.19249946283063091</v>
      </c>
      <c r="G55" s="7">
        <v>70.643333333333331</v>
      </c>
      <c r="H55" s="23">
        <v>3334.0488100686503</v>
      </c>
      <c r="I55" s="23">
        <v>48106.453116007389</v>
      </c>
      <c r="J55" s="23">
        <v>8830.8689274707012</v>
      </c>
      <c r="K55" s="15">
        <v>0.16222453831424088</v>
      </c>
      <c r="L55" s="30">
        <v>-1.5722075951156E-3</v>
      </c>
      <c r="M55">
        <v>27270.49148814792</v>
      </c>
      <c r="N55" s="23">
        <v>135.8540013631185</v>
      </c>
      <c r="O55" s="23">
        <v>4.0321789562903501</v>
      </c>
      <c r="P55" s="18">
        <v>100.3082899724939</v>
      </c>
      <c r="Q55" s="9">
        <v>100.88553467838715</v>
      </c>
      <c r="R55" s="21">
        <v>102.29469094649889</v>
      </c>
      <c r="S55" s="31"/>
    </row>
    <row r="56" spans="1:19" x14ac:dyDescent="0.2">
      <c r="A56" s="32">
        <v>45536</v>
      </c>
      <c r="B56" s="27">
        <v>100.59492730413436</v>
      </c>
      <c r="C56" s="7">
        <v>18.333333333333329</v>
      </c>
      <c r="D56">
        <v>2.8054619983957751</v>
      </c>
      <c r="E56" s="11">
        <v>17.150151515151517</v>
      </c>
      <c r="F56" s="23">
        <v>-1.5141512141913949</v>
      </c>
      <c r="G56" s="7">
        <v>69.283333333333331</v>
      </c>
      <c r="H56" s="23">
        <v>2850.8857233828967</v>
      </c>
      <c r="I56" s="23">
        <v>47606.490648455911</v>
      </c>
      <c r="J56" s="23">
        <v>8615.6422279003564</v>
      </c>
      <c r="K56" s="15">
        <v>1.929168527096311</v>
      </c>
      <c r="L56" s="30">
        <v>-1.2035732242932974E-3</v>
      </c>
      <c r="M56">
        <v>19013.965802682898</v>
      </c>
      <c r="N56" s="23">
        <v>121.24290720621745</v>
      </c>
      <c r="O56" s="23">
        <v>3.6961569133908498</v>
      </c>
      <c r="P56" s="18">
        <v>100.61781310487777</v>
      </c>
      <c r="Q56" s="9">
        <v>100.82494148970433</v>
      </c>
      <c r="R56" s="21">
        <v>103.24469299834951</v>
      </c>
      <c r="S56" s="31"/>
    </row>
    <row r="57" spans="1:19" x14ac:dyDescent="0.2">
      <c r="A57" s="32">
        <v>45627</v>
      </c>
      <c r="B57" s="27">
        <v>101.03687558124692</v>
      </c>
      <c r="C57" s="7">
        <v>21</v>
      </c>
      <c r="D57">
        <v>3.2007578648947543</v>
      </c>
      <c r="E57" s="11">
        <v>19.66363636363636</v>
      </c>
      <c r="F57" s="23">
        <v>11.638173109151385</v>
      </c>
      <c r="G57" s="7">
        <v>63.879999999999995</v>
      </c>
      <c r="H57" s="23">
        <v>2650.5225164690382</v>
      </c>
      <c r="I57" s="23">
        <v>48335.975544921144</v>
      </c>
      <c r="J57" s="23">
        <v>8451.3771868659296</v>
      </c>
      <c r="K57" s="14">
        <v>-2.4446411514216226</v>
      </c>
      <c r="L57" s="30">
        <v>-1.3815495189310001E-3</v>
      </c>
      <c r="M57">
        <v>20834.748542239293</v>
      </c>
      <c r="N57" s="23">
        <v>133.98576354980469</v>
      </c>
      <c r="O57" s="23">
        <v>3.6567809075606399</v>
      </c>
      <c r="P57" s="18">
        <v>100.62028435729729</v>
      </c>
      <c r="Q57" s="9">
        <v>100.45956743587779</v>
      </c>
      <c r="R57" s="21">
        <v>103.76013565751583</v>
      </c>
      <c r="S57" s="31"/>
    </row>
    <row r="58" spans="1:19" x14ac:dyDescent="0.2">
      <c r="A58" s="32">
        <v>45717</v>
      </c>
      <c r="B58" s="27">
        <v>99.228763298126864</v>
      </c>
      <c r="C58" s="7">
        <v>21</v>
      </c>
      <c r="D58">
        <v>1.9116793561604783</v>
      </c>
      <c r="E58" s="11">
        <v>16.908524590163932</v>
      </c>
      <c r="F58" s="23">
        <v>-6.5645540589661096</v>
      </c>
      <c r="G58" s="7">
        <v>62.78</v>
      </c>
      <c r="H58" s="23">
        <v>3072.2173809523811</v>
      </c>
      <c r="I58" s="23">
        <v>49996.314229550931</v>
      </c>
      <c r="J58" s="23">
        <v>9101.4902947830305</v>
      </c>
      <c r="K58" s="15">
        <v>0.60762184090297078</v>
      </c>
      <c r="L58" s="30">
        <v>-1.5326474103980026E-4</v>
      </c>
      <c r="M58">
        <v>21381.274020900091</v>
      </c>
      <c r="N58" s="23">
        <v>141.84064737955728</v>
      </c>
      <c r="O58" s="23">
        <v>1.9511501432656499</v>
      </c>
      <c r="P58" s="18">
        <v>100.93414824208966</v>
      </c>
      <c r="Q58" s="9">
        <v>99.83761897695716</v>
      </c>
      <c r="R58" s="21">
        <v>102.62645475677479</v>
      </c>
      <c r="S58" s="31"/>
    </row>
    <row r="59" spans="1:19" x14ac:dyDescent="0.2">
      <c r="A59" s="32">
        <v>45809</v>
      </c>
      <c r="B59" s="27">
        <v>100.43536169351586</v>
      </c>
      <c r="C59" s="7">
        <v>20.666666666666671</v>
      </c>
      <c r="D59">
        <v>1.0685671022327536</v>
      </c>
      <c r="E59" s="11">
        <v>16.066451612903226</v>
      </c>
      <c r="F59" s="23">
        <v>-13.162990936231223</v>
      </c>
      <c r="G59" s="7">
        <v>55.56</v>
      </c>
      <c r="H59" s="23">
        <v>2826.5471818181818</v>
      </c>
      <c r="I59" s="23">
        <v>48975.88631110765</v>
      </c>
      <c r="J59" s="23">
        <v>9496.5328150890346</v>
      </c>
      <c r="K59" s="15">
        <v>-1.7320515088090074</v>
      </c>
      <c r="L59" s="30">
        <v>-4.0166608510680215E-4</v>
      </c>
      <c r="M59">
        <v>14161.164138410488</v>
      </c>
      <c r="N59" s="23">
        <v>176.05194600423178</v>
      </c>
      <c r="O59" s="23">
        <v>1.3459329945628999</v>
      </c>
      <c r="P59" s="18">
        <v>100.1566255219237</v>
      </c>
      <c r="Q59" s="9">
        <v>100.94614450361385</v>
      </c>
      <c r="R59" s="21">
        <v>102.65534575909933</v>
      </c>
      <c r="S59" s="31"/>
    </row>
    <row r="60" spans="1:19" x14ac:dyDescent="0.2">
      <c r="A60" s="32">
        <v>45901</v>
      </c>
      <c r="B60" s="27">
        <v>100.30272568499127</v>
      </c>
      <c r="C60" s="7">
        <v>17.666666666666671</v>
      </c>
      <c r="D60">
        <v>1.4832937155146997</v>
      </c>
      <c r="E60" s="11">
        <v>13.865454545454545</v>
      </c>
      <c r="F60" s="23">
        <v>-0.25605358190371463</v>
      </c>
      <c r="G60" s="7">
        <v>58.246666666666663</v>
      </c>
      <c r="H60" s="23">
        <v>2827.1939971139977</v>
      </c>
      <c r="I60" s="23">
        <v>49358.934869011202</v>
      </c>
      <c r="J60" s="23">
        <v>9897.4273452312718</v>
      </c>
      <c r="K60" s="15">
        <v>-4.5744313238679425E-2</v>
      </c>
      <c r="L60" s="30">
        <v>-4.709427575008984E-4</v>
      </c>
      <c r="M60">
        <v>20543.212613176001</v>
      </c>
      <c r="N60" s="23">
        <v>133.02666219075522</v>
      </c>
      <c r="O60" s="23">
        <v>-0.59988243367648497</v>
      </c>
      <c r="P60" s="18">
        <v>100.4703464423369</v>
      </c>
      <c r="Q60" s="9">
        <v>101.0938490632179</v>
      </c>
      <c r="R60" s="21">
        <v>102.68455456244948</v>
      </c>
      <c r="S60" s="31"/>
    </row>
    <row r="61" spans="1:19" x14ac:dyDescent="0.2">
      <c r="A61" s="32">
        <v>45992</v>
      </c>
      <c r="B61" s="28">
        <v>100.70178880455214</v>
      </c>
      <c r="C61" s="7">
        <v>16.57</v>
      </c>
      <c r="D61">
        <v>1.0664465667462597</v>
      </c>
      <c r="E61" s="11">
        <v>14.768615384615385</v>
      </c>
      <c r="F61" s="23">
        <v>-0.84420539353446955</v>
      </c>
      <c r="G61" s="7">
        <v>45.91</v>
      </c>
      <c r="H61" s="23">
        <v>2636.8332516469031</v>
      </c>
      <c r="I61" s="23">
        <v>50511.551623435924</v>
      </c>
      <c r="J61" s="23">
        <v>10545.378314527507</v>
      </c>
      <c r="K61" s="14">
        <v>-1.1708224922435484</v>
      </c>
      <c r="L61" s="30">
        <v>-2.8662265405340117E-4</v>
      </c>
      <c r="M61">
        <v>13437.879823502401</v>
      </c>
      <c r="N61" s="23">
        <v>129.9401830037435</v>
      </c>
      <c r="O61" s="23">
        <v>-1.0481776442458901</v>
      </c>
      <c r="P61" s="19">
        <v>100.3145049877759</v>
      </c>
      <c r="Q61" s="9">
        <v>100.12056202809015</v>
      </c>
      <c r="R61" s="21">
        <v>102.96081963196698</v>
      </c>
      <c r="S61" s="31"/>
    </row>
    <row r="62" spans="1:19" x14ac:dyDescent="0.2">
      <c r="A62" s="32">
        <v>46082</v>
      </c>
      <c r="B62" s="29">
        <v>98.377090294748811</v>
      </c>
      <c r="C62" s="8">
        <v>15.702999999999999</v>
      </c>
      <c r="D62">
        <v>2.1001426020593073</v>
      </c>
      <c r="E62" s="12">
        <v>14.675499999999998</v>
      </c>
      <c r="F62" s="23">
        <v>-2.0856873646236451</v>
      </c>
      <c r="G62" s="8">
        <v>42.77</v>
      </c>
      <c r="H62" s="23">
        <v>2785.4266985645936</v>
      </c>
      <c r="I62" s="23">
        <v>51740.223217018247</v>
      </c>
      <c r="J62" s="23">
        <v>11152.4676855608</v>
      </c>
      <c r="K62" s="15">
        <v>0.5705437890352032</v>
      </c>
      <c r="L62" s="30">
        <v>-8.2288373832509979E-4</v>
      </c>
      <c r="M62">
        <v>13535.691118575895</v>
      </c>
      <c r="N62" s="23">
        <v>206.34286244710287</v>
      </c>
      <c r="O62" s="23">
        <v>-2.3543605856604302</v>
      </c>
      <c r="P62" s="20">
        <v>100.47270099662725</v>
      </c>
      <c r="Q62" s="16">
        <v>100.49743044474273</v>
      </c>
      <c r="R62" s="22">
        <v>103.24604525651318</v>
      </c>
      <c r="S62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71D7-1BE5-9849-9013-FBA812817860}">
  <dimension ref="A1:S62"/>
  <sheetViews>
    <sheetView topLeftCell="G1" workbookViewId="0">
      <selection activeCell="S1" sqref="S1:S1048576"/>
    </sheetView>
  </sheetViews>
  <sheetFormatPr baseColWidth="10" defaultRowHeight="15" x14ac:dyDescent="0.2"/>
  <cols>
    <col min="1" max="1" width="23.5" customWidth="1"/>
    <col min="2" max="2" width="21.1640625" style="1" bestFit="1" customWidth="1"/>
    <col min="3" max="3" width="11.5" style="1" customWidth="1"/>
    <col min="4" max="5" width="8.83203125"/>
    <col min="6" max="8" width="11.5" style="17" customWidth="1"/>
    <col min="11" max="11" width="8.83203125"/>
    <col min="12" max="12" width="16" customWidth="1"/>
    <col min="13" max="13" width="8.83203125"/>
    <col min="16" max="16" width="12" customWidth="1"/>
  </cols>
  <sheetData>
    <row r="1" spans="1:19" ht="16" x14ac:dyDescent="0.2">
      <c r="A1" s="24" t="s">
        <v>10</v>
      </c>
      <c r="B1" s="24" t="s">
        <v>16</v>
      </c>
      <c r="C1" s="25" t="s">
        <v>12</v>
      </c>
      <c r="D1" s="2" t="s">
        <v>3</v>
      </c>
      <c r="E1" s="25" t="s">
        <v>4</v>
      </c>
      <c r="F1" s="25" t="s">
        <v>13</v>
      </c>
      <c r="G1" s="25" t="s">
        <v>14</v>
      </c>
      <c r="H1" s="25" t="s">
        <v>15</v>
      </c>
      <c r="J1" s="25" t="s">
        <v>17</v>
      </c>
      <c r="K1" s="2" t="s">
        <v>1</v>
      </c>
      <c r="L1" s="2" t="s">
        <v>2</v>
      </c>
      <c r="M1" s="2" t="s">
        <v>3</v>
      </c>
      <c r="O1" s="2" t="s">
        <v>1</v>
      </c>
      <c r="P1" s="2" t="s">
        <v>2</v>
      </c>
      <c r="Q1" s="2" t="s">
        <v>3</v>
      </c>
      <c r="S1" s="2" t="s">
        <v>3</v>
      </c>
    </row>
    <row r="2" spans="1:19" x14ac:dyDescent="0.2">
      <c r="A2">
        <v>269.1485210236367</v>
      </c>
      <c r="B2" s="4">
        <v>28604.283302760799</v>
      </c>
      <c r="C2" s="7">
        <v>29.26</v>
      </c>
      <c r="D2" s="13">
        <v>817.04253100008054</v>
      </c>
      <c r="E2" s="23">
        <v>6.7750354724619699</v>
      </c>
      <c r="F2" s="18">
        <v>132.84198181119612</v>
      </c>
      <c r="G2" s="9">
        <v>16920.599999999999</v>
      </c>
      <c r="H2" s="21">
        <v>102.3</v>
      </c>
      <c r="J2">
        <f>1</f>
        <v>1</v>
      </c>
      <c r="K2" s="23">
        <v>23512.392333333333</v>
      </c>
      <c r="L2" s="23">
        <v>2986.3403333333335</v>
      </c>
      <c r="M2" s="13">
        <v>817.04253100008054</v>
      </c>
      <c r="O2">
        <f>K2/$J2</f>
        <v>23512.392333333333</v>
      </c>
      <c r="P2">
        <f>L2/$J2</f>
        <v>2986.3403333333335</v>
      </c>
      <c r="Q2">
        <f>M2/$J2</f>
        <v>817.04253100008054</v>
      </c>
      <c r="S2">
        <v>817.04253100008054</v>
      </c>
    </row>
    <row r="3" spans="1:19" x14ac:dyDescent="0.2">
      <c r="A3">
        <v>272.61040776507275</v>
      </c>
      <c r="B3" s="4">
        <v>28972.526290622154</v>
      </c>
      <c r="C3" s="7">
        <v>27.99</v>
      </c>
      <c r="D3" s="13">
        <v>1746.3812045520199</v>
      </c>
      <c r="E3" s="23">
        <v>6.7038632887815899</v>
      </c>
      <c r="F3" s="18">
        <v>132.84198181119612</v>
      </c>
      <c r="G3" s="9">
        <v>17035.099999999999</v>
      </c>
      <c r="H3" s="21">
        <v>104.7552</v>
      </c>
      <c r="J3">
        <f>A3/$A$2</f>
        <v>1.0128623658353004</v>
      </c>
      <c r="K3" s="23">
        <v>23800.913333333334</v>
      </c>
      <c r="L3" s="23">
        <v>3300.9663333333333</v>
      </c>
      <c r="M3" s="13">
        <v>1746.3812045520199</v>
      </c>
      <c r="O3">
        <f t="shared" ref="O3:O62" si="0">K3/$J3</f>
        <v>23498.664908637304</v>
      </c>
      <c r="P3">
        <f t="shared" ref="P3:P62" si="1">L3/$J3</f>
        <v>3259.047275007646</v>
      </c>
      <c r="Q3">
        <f t="shared" ref="Q3:Q62" si="2">M3/$J3</f>
        <v>1724.2038636826946</v>
      </c>
      <c r="S3">
        <f>(Q3-Q2)/ABS(Q2)</f>
        <v>1.1102987889409208</v>
      </c>
    </row>
    <row r="4" spans="1:19" x14ac:dyDescent="0.2">
      <c r="A4">
        <v>274.70492432832771</v>
      </c>
      <c r="B4" s="4">
        <v>29405.187880891372</v>
      </c>
      <c r="C4" s="7">
        <v>29.03</v>
      </c>
      <c r="D4" s="13">
        <v>2425.3697177688991</v>
      </c>
      <c r="E4" s="23">
        <v>6.50430917188487</v>
      </c>
      <c r="F4" s="18">
        <v>132.84198181119612</v>
      </c>
      <c r="G4" s="9">
        <v>17031.3</v>
      </c>
      <c r="H4" s="21">
        <v>106.64079359999999</v>
      </c>
      <c r="J4">
        <f t="shared" ref="J4:J62" si="3">A4/$A$2</f>
        <v>1.020644376136858</v>
      </c>
      <c r="K4" s="23">
        <v>24664.771333333334</v>
      </c>
      <c r="L4" s="23">
        <v>3657.146666666667</v>
      </c>
      <c r="M4" s="13">
        <v>2425.3697177688991</v>
      </c>
      <c r="O4">
        <f t="shared" si="0"/>
        <v>24165.881780184365</v>
      </c>
      <c r="P4">
        <f t="shared" si="1"/>
        <v>3583.1742692875828</v>
      </c>
      <c r="Q4">
        <f t="shared" si="2"/>
        <v>2376.3122341877106</v>
      </c>
      <c r="S4">
        <f t="shared" ref="S4:S62" si="4">(Q4-Q3)/ABS(Q3)</f>
        <v>0.37820839185001587</v>
      </c>
    </row>
    <row r="5" spans="1:19" x14ac:dyDescent="0.2">
      <c r="A5">
        <v>278.37046188386927</v>
      </c>
      <c r="B5" s="4">
        <v>29756.488224120556</v>
      </c>
      <c r="C5" s="7">
        <v>31.22</v>
      </c>
      <c r="D5" s="14">
        <v>860.72359242699895</v>
      </c>
      <c r="E5" s="23">
        <v>6.3103537733684902</v>
      </c>
      <c r="F5" s="18">
        <v>132.44345586576253</v>
      </c>
      <c r="G5" s="9">
        <v>17222.599999999999</v>
      </c>
      <c r="H5" s="21">
        <v>108.34704629759999</v>
      </c>
      <c r="J5">
        <f t="shared" si="3"/>
        <v>1.0342633904327592</v>
      </c>
      <c r="K5" s="23">
        <v>26098.581333333335</v>
      </c>
      <c r="L5" s="23">
        <v>4003.6563333333338</v>
      </c>
      <c r="M5" s="14">
        <v>860.72359242699895</v>
      </c>
      <c r="O5">
        <f t="shared" si="0"/>
        <v>25233.979636863198</v>
      </c>
      <c r="P5">
        <f t="shared" si="1"/>
        <v>3871.0219953334263</v>
      </c>
      <c r="Q5">
        <f t="shared" si="2"/>
        <v>832.20928091330074</v>
      </c>
      <c r="S5">
        <f t="shared" si="4"/>
        <v>-0.64978959038277517</v>
      </c>
    </row>
    <row r="6" spans="1:19" x14ac:dyDescent="0.2">
      <c r="A6">
        <v>281.32557759521364</v>
      </c>
      <c r="B6" s="4">
        <v>30234.438837205489</v>
      </c>
      <c r="C6" s="7">
        <v>30.24</v>
      </c>
      <c r="D6" s="13">
        <v>519.85582958903979</v>
      </c>
      <c r="E6" s="23">
        <v>6.0467604207711299</v>
      </c>
      <c r="F6" s="18">
        <v>132.17856895403099</v>
      </c>
      <c r="G6" s="9">
        <v>17367</v>
      </c>
      <c r="H6" s="21">
        <v>110.40564017725438</v>
      </c>
      <c r="J6">
        <f t="shared" si="3"/>
        <v>1.0452428886670626</v>
      </c>
      <c r="K6" s="23">
        <v>28023.173666666669</v>
      </c>
      <c r="L6" s="23">
        <v>4208.804666666666</v>
      </c>
      <c r="M6" s="13">
        <v>519.85582958903979</v>
      </c>
      <c r="O6">
        <f t="shared" si="0"/>
        <v>26810.202652900123</v>
      </c>
      <c r="P6">
        <f t="shared" si="1"/>
        <v>4026.6283677221754</v>
      </c>
      <c r="Q6">
        <f t="shared" si="2"/>
        <v>497.35409369967743</v>
      </c>
      <c r="S6">
        <f t="shared" si="4"/>
        <v>-0.40236896522727966</v>
      </c>
    </row>
    <row r="7" spans="1:19" x14ac:dyDescent="0.2">
      <c r="A7">
        <v>286.32811522072973</v>
      </c>
      <c r="B7" s="4">
        <v>30329.828808703249</v>
      </c>
      <c r="C7" s="7">
        <v>30.98</v>
      </c>
      <c r="D7" s="13">
        <v>1140.2345873658487</v>
      </c>
      <c r="E7" s="23">
        <v>5.6729246649540102</v>
      </c>
      <c r="F7" s="18">
        <v>131.64985467821487</v>
      </c>
      <c r="G7" s="9">
        <v>17444.5</v>
      </c>
      <c r="H7" s="21">
        <v>112.72415862097672</v>
      </c>
      <c r="J7">
        <f t="shared" si="3"/>
        <v>1.0638294207664782</v>
      </c>
      <c r="K7" s="23">
        <v>28401.736000000004</v>
      </c>
      <c r="L7" s="23">
        <v>4327.6686666666665</v>
      </c>
      <c r="M7" s="13">
        <v>1140.2345873658487</v>
      </c>
      <c r="O7">
        <f t="shared" si="0"/>
        <v>26697.641036790319</v>
      </c>
      <c r="P7">
        <f t="shared" si="1"/>
        <v>4068.0099480127419</v>
      </c>
      <c r="Q7">
        <f t="shared" si="2"/>
        <v>1071.8208813442302</v>
      </c>
      <c r="S7">
        <f t="shared" si="4"/>
        <v>1.1550458615334915</v>
      </c>
    </row>
    <row r="8" spans="1:19" x14ac:dyDescent="0.2">
      <c r="A8">
        <v>293.47712018913387</v>
      </c>
      <c r="B8" s="4">
        <v>30431.645282731923</v>
      </c>
      <c r="C8" s="7">
        <v>32</v>
      </c>
      <c r="D8" s="13">
        <v>1585.4043316350017</v>
      </c>
      <c r="E8" s="23">
        <v>5.5251973477333003</v>
      </c>
      <c r="F8" s="18">
        <v>131.51820482353665</v>
      </c>
      <c r="G8" s="9">
        <v>17469.7</v>
      </c>
      <c r="H8" s="21">
        <v>114.86591763477529</v>
      </c>
      <c r="J8">
        <f t="shared" si="3"/>
        <v>1.0903909821721094</v>
      </c>
      <c r="K8" s="23">
        <v>29176.929666666667</v>
      </c>
      <c r="L8" s="23">
        <v>4452.8066666666673</v>
      </c>
      <c r="M8" s="13">
        <v>1585.4043316350017</v>
      </c>
      <c r="O8">
        <f t="shared" si="0"/>
        <v>26758.227226480605</v>
      </c>
      <c r="P8">
        <f t="shared" si="1"/>
        <v>4083.6789183605224</v>
      </c>
      <c r="Q8">
        <f t="shared" si="2"/>
        <v>1453.9778460720602</v>
      </c>
      <c r="S8">
        <f t="shared" si="4"/>
        <v>0.35654928111546552</v>
      </c>
    </row>
    <row r="9" spans="1:19" x14ac:dyDescent="0.2">
      <c r="A9">
        <v>296.82724261138083</v>
      </c>
      <c r="B9" s="4">
        <v>30423.87896793308</v>
      </c>
      <c r="C9" s="7">
        <v>31.08</v>
      </c>
      <c r="D9" s="14">
        <v>260.38707562299896</v>
      </c>
      <c r="E9" s="23">
        <v>5.3610797065958096</v>
      </c>
      <c r="F9" s="18">
        <v>130.99213200424251</v>
      </c>
      <c r="G9" s="9">
        <v>17489.900000000001</v>
      </c>
      <c r="H9" s="21">
        <v>117.1632359874708</v>
      </c>
      <c r="J9">
        <f t="shared" si="3"/>
        <v>1.1028380965367199</v>
      </c>
      <c r="K9" s="23">
        <v>29673.093333333334</v>
      </c>
      <c r="L9" s="23">
        <v>4567.230333333333</v>
      </c>
      <c r="M9" s="14">
        <v>260.38707562299896</v>
      </c>
      <c r="O9">
        <f t="shared" si="0"/>
        <v>26906.119244988688</v>
      </c>
      <c r="P9">
        <f t="shared" si="1"/>
        <v>4141.3425485354219</v>
      </c>
      <c r="Q9">
        <f t="shared" si="2"/>
        <v>236.1063481944461</v>
      </c>
      <c r="S9">
        <f t="shared" si="4"/>
        <v>-0.83761351740517198</v>
      </c>
    </row>
    <row r="10" spans="1:19" x14ac:dyDescent="0.2">
      <c r="A10">
        <v>301.24189285586959</v>
      </c>
      <c r="B10" s="4">
        <v>30739.892282192228</v>
      </c>
      <c r="C10" s="7">
        <v>30.4</v>
      </c>
      <c r="D10" s="13">
        <v>290.87678893958946</v>
      </c>
      <c r="E10" s="23">
        <v>5.4534890128716098</v>
      </c>
      <c r="F10" s="18">
        <v>130.59915560822978</v>
      </c>
      <c r="G10" s="9">
        <v>17662.400000000001</v>
      </c>
      <c r="H10" s="21">
        <v>119.38933747123275</v>
      </c>
      <c r="J10">
        <f t="shared" si="3"/>
        <v>1.1192403796616606</v>
      </c>
      <c r="K10" s="23">
        <v>31913.224333333332</v>
      </c>
      <c r="L10" s="23">
        <v>4906.3266666666668</v>
      </c>
      <c r="M10" s="13">
        <v>290.87678893958946</v>
      </c>
      <c r="O10">
        <f t="shared" si="0"/>
        <v>28513.288935287077</v>
      </c>
      <c r="P10">
        <f t="shared" si="1"/>
        <v>4383.6219241391373</v>
      </c>
      <c r="Q10">
        <f t="shared" si="2"/>
        <v>259.88768295468373</v>
      </c>
      <c r="S10">
        <f>(Q10-Q9)/ABS(Q9)</f>
        <v>0.10072297903931171</v>
      </c>
    </row>
    <row r="11" spans="1:19" x14ac:dyDescent="0.2">
      <c r="A11">
        <v>306.37601159647573</v>
      </c>
      <c r="B11" s="4">
        <v>30868.227625164858</v>
      </c>
      <c r="C11" s="7">
        <v>31.61</v>
      </c>
      <c r="D11" s="13">
        <v>535.2998803884002</v>
      </c>
      <c r="E11" s="23">
        <v>5.5122727582275299</v>
      </c>
      <c r="F11" s="18">
        <v>131.5133496974874</v>
      </c>
      <c r="G11" s="9">
        <v>17709.7</v>
      </c>
      <c r="H11" s="21">
        <v>121.53834554571493</v>
      </c>
      <c r="J11">
        <f t="shared" si="3"/>
        <v>1.1383157909664667</v>
      </c>
      <c r="K11" s="23">
        <v>32941.142666666674</v>
      </c>
      <c r="L11" s="23">
        <v>4882.902000000001</v>
      </c>
      <c r="M11" s="13">
        <v>535.2998803884002</v>
      </c>
      <c r="O11">
        <f t="shared" si="0"/>
        <v>28938.492225165905</v>
      </c>
      <c r="P11">
        <f t="shared" si="1"/>
        <v>4289.5846993866789</v>
      </c>
      <c r="Q11">
        <f t="shared" si="2"/>
        <v>470.2560437415292</v>
      </c>
      <c r="S11">
        <f t="shared" si="4"/>
        <v>0.8094587569335755</v>
      </c>
    </row>
    <row r="12" spans="1:19" x14ac:dyDescent="0.2">
      <c r="A12">
        <v>311.3790943550913</v>
      </c>
      <c r="B12" s="4">
        <v>30804.226342623053</v>
      </c>
      <c r="C12" s="7">
        <v>32.79</v>
      </c>
      <c r="D12" s="13">
        <v>913.25641657019878</v>
      </c>
      <c r="E12" s="23">
        <v>5.5134733839633396</v>
      </c>
      <c r="F12" s="18">
        <v>131.90788974657985</v>
      </c>
      <c r="G12" s="9">
        <v>17860.5</v>
      </c>
      <c r="H12" s="21">
        <v>124.09065080217493</v>
      </c>
      <c r="J12">
        <f t="shared" si="3"/>
        <v>1.1569043484647121</v>
      </c>
      <c r="K12" s="23">
        <v>34378.616000000002</v>
      </c>
      <c r="L12" s="23">
        <v>4982.6473333333333</v>
      </c>
      <c r="M12" s="13">
        <v>913.25641657019878</v>
      </c>
      <c r="O12">
        <f t="shared" si="0"/>
        <v>29716.040090628649</v>
      </c>
      <c r="P12">
        <f t="shared" si="1"/>
        <v>4306.8792506015152</v>
      </c>
      <c r="Q12">
        <f t="shared" si="2"/>
        <v>789.39664958658841</v>
      </c>
      <c r="S12">
        <f t="shared" si="4"/>
        <v>0.67865285325385671</v>
      </c>
    </row>
    <row r="13" spans="1:19" x14ac:dyDescent="0.2">
      <c r="A13">
        <v>315.96725303715908</v>
      </c>
      <c r="B13" s="4">
        <v>30999.470443249738</v>
      </c>
      <c r="C13" s="7">
        <v>32.53</v>
      </c>
      <c r="D13" s="14">
        <v>-848.22365845369859</v>
      </c>
      <c r="E13" s="23">
        <v>5.4837145991391196</v>
      </c>
      <c r="F13" s="18">
        <v>132.17170552607303</v>
      </c>
      <c r="G13" s="9">
        <v>18016.099999999999</v>
      </c>
      <c r="H13" s="21">
        <v>126.07610121500973</v>
      </c>
      <c r="J13">
        <f t="shared" si="3"/>
        <v>1.1739512884390353</v>
      </c>
      <c r="K13" s="23">
        <v>34706.910333333333</v>
      </c>
      <c r="L13" s="23">
        <v>5219.1516666666666</v>
      </c>
      <c r="M13" s="14">
        <v>-848.22365845369859</v>
      </c>
      <c r="O13">
        <f t="shared" si="0"/>
        <v>29564.182666797002</v>
      </c>
      <c r="P13">
        <f t="shared" si="1"/>
        <v>4445.7991724736739</v>
      </c>
      <c r="Q13">
        <f t="shared" si="2"/>
        <v>-722.53735466448006</v>
      </c>
      <c r="S13">
        <f t="shared" si="4"/>
        <v>-1.9153032952988551</v>
      </c>
    </row>
    <row r="14" spans="1:19" x14ac:dyDescent="0.2">
      <c r="A14">
        <v>321.81895676000107</v>
      </c>
      <c r="B14" s="4">
        <v>30953.133072343786</v>
      </c>
      <c r="C14" s="7">
        <v>34.950000000000003</v>
      </c>
      <c r="D14" s="13">
        <v>528.37776091077103</v>
      </c>
      <c r="E14" s="23">
        <v>5.2180575781589704</v>
      </c>
      <c r="F14" s="18">
        <v>132.83256405370338</v>
      </c>
      <c r="G14" s="9">
        <v>17954</v>
      </c>
      <c r="H14" s="21">
        <v>128.59762323930991</v>
      </c>
      <c r="J14">
        <f t="shared" si="3"/>
        <v>1.1956928298771474</v>
      </c>
      <c r="K14" s="23">
        <v>37352.841666666667</v>
      </c>
      <c r="L14" s="23">
        <v>5736.9186666666674</v>
      </c>
      <c r="M14" s="13">
        <v>528.37776091077103</v>
      </c>
      <c r="O14">
        <f t="shared" si="0"/>
        <v>31239.496242947713</v>
      </c>
      <c r="P14">
        <f t="shared" si="1"/>
        <v>4797.9870108078785</v>
      </c>
      <c r="Q14">
        <f t="shared" si="2"/>
        <v>441.90091945693086</v>
      </c>
      <c r="S14">
        <f t="shared" si="4"/>
        <v>1.6115959494746586</v>
      </c>
    </row>
    <row r="15" spans="1:19" x14ac:dyDescent="0.2">
      <c r="A15">
        <v>329.83468117536324</v>
      </c>
      <c r="B15" s="4">
        <v>31174.847340493128</v>
      </c>
      <c r="C15" s="7">
        <v>34.99</v>
      </c>
      <c r="D15" s="13">
        <v>1087.5857264944989</v>
      </c>
      <c r="E15" s="23">
        <v>5.10450038076553</v>
      </c>
      <c r="F15" s="18">
        <v>133.09822918181078</v>
      </c>
      <c r="G15" s="9">
        <v>18185.900000000001</v>
      </c>
      <c r="H15" s="21">
        <v>130.9123804576175</v>
      </c>
      <c r="J15">
        <f t="shared" si="3"/>
        <v>1.2254746187009404</v>
      </c>
      <c r="K15" s="23">
        <v>37215.258000000002</v>
      </c>
      <c r="L15" s="23">
        <v>5720.4376666666658</v>
      </c>
      <c r="M15" s="13">
        <v>1087.5857264944989</v>
      </c>
      <c r="O15">
        <f t="shared" si="0"/>
        <v>30368.036540364981</v>
      </c>
      <c r="P15">
        <f t="shared" si="1"/>
        <v>4667.9364707941431</v>
      </c>
      <c r="Q15">
        <f t="shared" si="2"/>
        <v>887.48123371774921</v>
      </c>
      <c r="S15">
        <f t="shared" si="4"/>
        <v>1.0083262890885343</v>
      </c>
    </row>
    <row r="16" spans="1:19" x14ac:dyDescent="0.2">
      <c r="A16">
        <v>336.66944274594687</v>
      </c>
      <c r="B16" s="4">
        <v>31092.343873519705</v>
      </c>
      <c r="C16" s="7">
        <v>36.18</v>
      </c>
      <c r="D16" s="13">
        <v>1542.3195723919998</v>
      </c>
      <c r="E16" s="23">
        <v>5.1419451486845604</v>
      </c>
      <c r="F16" s="18">
        <v>133.76372032771985</v>
      </c>
      <c r="G16" s="9">
        <v>18406.900000000001</v>
      </c>
      <c r="H16" s="21">
        <v>133.26880330585462</v>
      </c>
      <c r="J16">
        <f t="shared" si="3"/>
        <v>1.2508686336655754</v>
      </c>
      <c r="K16" s="23">
        <v>37432.358666666667</v>
      </c>
      <c r="L16" s="23">
        <v>5763.7366666666667</v>
      </c>
      <c r="M16" s="13">
        <v>1542.3195723919998</v>
      </c>
      <c r="O16">
        <f t="shared" si="0"/>
        <v>29925.091779601178</v>
      </c>
      <c r="P16">
        <f t="shared" si="1"/>
        <v>4607.787349960543</v>
      </c>
      <c r="Q16">
        <f t="shared" si="2"/>
        <v>1232.9988384730293</v>
      </c>
      <c r="S16">
        <f t="shared" si="4"/>
        <v>0.38932384328609598</v>
      </c>
    </row>
    <row r="17" spans="1:19" x14ac:dyDescent="0.2">
      <c r="A17">
        <v>351.43060667335595</v>
      </c>
      <c r="B17" s="4">
        <v>31057.048376050898</v>
      </c>
      <c r="C17" s="7">
        <v>46.96</v>
      </c>
      <c r="D17" s="14">
        <v>-845.58648923889996</v>
      </c>
      <c r="E17" s="23">
        <v>5.18769909314085</v>
      </c>
      <c r="F17" s="18">
        <v>134.29877520903074</v>
      </c>
      <c r="G17" s="9">
        <v>18500</v>
      </c>
      <c r="H17" s="21">
        <v>135.53437296205414</v>
      </c>
      <c r="J17">
        <f t="shared" si="3"/>
        <v>1.3057125684242314</v>
      </c>
      <c r="K17" s="23">
        <v>39001.347000000002</v>
      </c>
      <c r="L17" s="23">
        <v>5750.7243333333327</v>
      </c>
      <c r="M17" s="14">
        <v>-845.58648923889996</v>
      </c>
      <c r="O17">
        <f t="shared" si="0"/>
        <v>29869.779875878703</v>
      </c>
      <c r="P17">
        <f t="shared" si="1"/>
        <v>4404.2804460965399</v>
      </c>
      <c r="Q17">
        <f t="shared" si="2"/>
        <v>-647.60538397771279</v>
      </c>
      <c r="S17">
        <f t="shared" si="4"/>
        <v>-1.5252278946018476</v>
      </c>
    </row>
    <row r="18" spans="1:19" x14ac:dyDescent="0.2">
      <c r="A18">
        <v>375.7246392624786</v>
      </c>
      <c r="B18" s="4">
        <v>30601.562630789445</v>
      </c>
      <c r="C18" s="7">
        <v>62.16</v>
      </c>
      <c r="D18" s="13">
        <v>-447.27935303947925</v>
      </c>
      <c r="E18" s="23">
        <v>5.4267965479581504</v>
      </c>
      <c r="F18" s="18">
        <v>135.373165410703</v>
      </c>
      <c r="G18" s="9">
        <v>18666.599999999999</v>
      </c>
      <c r="H18" s="21">
        <v>137.83845730240907</v>
      </c>
      <c r="J18">
        <f t="shared" si="3"/>
        <v>1.3959751212212024</v>
      </c>
      <c r="K18" s="23">
        <v>43981.853000000003</v>
      </c>
      <c r="L18" s="23">
        <v>7213.9483333333328</v>
      </c>
      <c r="M18" s="13">
        <v>-447.27935303947925</v>
      </c>
      <c r="O18">
        <f t="shared" si="0"/>
        <v>31506.186844880569</v>
      </c>
      <c r="P18">
        <f t="shared" si="1"/>
        <v>5167.6768616209674</v>
      </c>
      <c r="Q18">
        <f t="shared" si="2"/>
        <v>-320.40639280748655</v>
      </c>
      <c r="S18">
        <f t="shared" si="4"/>
        <v>0.50524439614832906</v>
      </c>
    </row>
    <row r="19" spans="1:19" x14ac:dyDescent="0.2">
      <c r="A19">
        <v>379.90212568324802</v>
      </c>
      <c r="B19" s="4">
        <v>30387.69084665101</v>
      </c>
      <c r="C19" s="7">
        <v>52.63</v>
      </c>
      <c r="D19" s="13">
        <v>-882.84406540469899</v>
      </c>
      <c r="E19" s="23">
        <v>5.5957339337222098</v>
      </c>
      <c r="F19" s="18">
        <v>135.91465807234582</v>
      </c>
      <c r="G19" s="9">
        <v>18782.2</v>
      </c>
      <c r="H19" s="21">
        <v>140.45738799115486</v>
      </c>
      <c r="J19">
        <f t="shared" si="3"/>
        <v>1.4114962409542087</v>
      </c>
      <c r="K19" s="23">
        <v>42920.388000000006</v>
      </c>
      <c r="L19" s="23">
        <v>7082.3899999999994</v>
      </c>
      <c r="M19" s="13">
        <v>-882.84406540469899</v>
      </c>
      <c r="O19">
        <f t="shared" si="0"/>
        <v>30407.723913585978</v>
      </c>
      <c r="P19">
        <f t="shared" si="1"/>
        <v>5017.6470857705699</v>
      </c>
      <c r="Q19">
        <f t="shared" si="2"/>
        <v>-625.46682009430867</v>
      </c>
      <c r="S19">
        <f t="shared" si="4"/>
        <v>-0.95210468372307122</v>
      </c>
    </row>
    <row r="20" spans="1:19" x14ac:dyDescent="0.2">
      <c r="A20">
        <v>388.73092972671469</v>
      </c>
      <c r="B20" s="4">
        <v>30529.4185021007</v>
      </c>
      <c r="C20" s="7">
        <v>62.85</v>
      </c>
      <c r="D20" s="13">
        <v>-751.83103043079973</v>
      </c>
      <c r="E20" s="23">
        <v>5.5709508191785204</v>
      </c>
      <c r="F20" s="18">
        <v>136.45831670463519</v>
      </c>
      <c r="G20" s="9">
        <v>18857.400000000001</v>
      </c>
      <c r="H20" s="21">
        <v>142.84516358700449</v>
      </c>
      <c r="J20">
        <f t="shared" si="3"/>
        <v>1.4442989627001377</v>
      </c>
      <c r="K20" s="23">
        <v>44805.904999999999</v>
      </c>
      <c r="L20" s="23">
        <v>7055.9553333333342</v>
      </c>
      <c r="M20" s="13">
        <v>-751.83103043079973</v>
      </c>
      <c r="O20">
        <f t="shared" si="0"/>
        <v>31022.597230309377</v>
      </c>
      <c r="P20">
        <f t="shared" si="1"/>
        <v>4885.3842006104642</v>
      </c>
      <c r="Q20">
        <f t="shared" si="2"/>
        <v>-520.550834589842</v>
      </c>
      <c r="S20">
        <f t="shared" si="4"/>
        <v>0.16774028954668979</v>
      </c>
    </row>
    <row r="21" spans="1:19" x14ac:dyDescent="0.2">
      <c r="A21">
        <v>396.43391470840538</v>
      </c>
      <c r="B21" s="4">
        <v>30510.705975848425</v>
      </c>
      <c r="C21" s="7">
        <v>65.86</v>
      </c>
      <c r="D21" s="14">
        <v>-2819.4933122695984</v>
      </c>
      <c r="E21" s="23">
        <v>5.7034558815017</v>
      </c>
      <c r="F21" s="18">
        <v>137.14060828815838</v>
      </c>
      <c r="G21" s="9">
        <v>18892.2</v>
      </c>
      <c r="H21" s="21">
        <v>145.13068620439654</v>
      </c>
      <c r="J21">
        <f t="shared" si="3"/>
        <v>1.472918792942542</v>
      </c>
      <c r="K21" s="23">
        <v>47001.673333333332</v>
      </c>
      <c r="L21" s="23">
        <v>7086.1220000000003</v>
      </c>
      <c r="M21" s="14">
        <v>-2819.4933122695984</v>
      </c>
      <c r="O21">
        <f t="shared" si="0"/>
        <v>31910.566664327194</v>
      </c>
      <c r="P21">
        <f t="shared" si="1"/>
        <v>4810.9386844359633</v>
      </c>
      <c r="Q21">
        <f t="shared" si="2"/>
        <v>-1914.2218333957978</v>
      </c>
      <c r="S21">
        <f t="shared" si="4"/>
        <v>-2.6773004790282817</v>
      </c>
    </row>
    <row r="22" spans="1:19" x14ac:dyDescent="0.2">
      <c r="A22">
        <v>402.66912098243853</v>
      </c>
      <c r="B22" s="4">
        <v>30504.313645669085</v>
      </c>
      <c r="C22" s="7">
        <v>74.59</v>
      </c>
      <c r="D22" s="13">
        <v>-462.96056862291971</v>
      </c>
      <c r="E22" s="23">
        <v>5.6007997512392498</v>
      </c>
      <c r="F22" s="18">
        <v>137.82631132959918</v>
      </c>
      <c r="G22" s="9">
        <v>19001.7</v>
      </c>
      <c r="H22" s="21">
        <v>147.45277718366688</v>
      </c>
      <c r="J22">
        <f t="shared" si="3"/>
        <v>1.4960852077172515</v>
      </c>
      <c r="K22" s="23">
        <v>51094.445333333337</v>
      </c>
      <c r="L22" s="23">
        <v>7273.1726666666664</v>
      </c>
      <c r="M22" s="13">
        <v>-462.96056862291971</v>
      </c>
      <c r="O22">
        <f t="shared" si="0"/>
        <v>34152.095796264162</v>
      </c>
      <c r="P22">
        <f t="shared" si="1"/>
        <v>4861.4695400699657</v>
      </c>
      <c r="Q22">
        <f t="shared" si="2"/>
        <v>-309.44799549840593</v>
      </c>
      <c r="S22">
        <f t="shared" si="4"/>
        <v>0.83834266744860475</v>
      </c>
    </row>
    <row r="23" spans="1:19" x14ac:dyDescent="0.2">
      <c r="A23">
        <v>407.80136746446095</v>
      </c>
      <c r="B23" s="4">
        <v>30480.166292176378</v>
      </c>
      <c r="C23" s="7">
        <v>65.88</v>
      </c>
      <c r="D23" s="13">
        <v>-1061.4047080844994</v>
      </c>
      <c r="E23" s="23">
        <v>5.6084471408710996</v>
      </c>
      <c r="F23" s="18">
        <v>138.10196395225839</v>
      </c>
      <c r="G23" s="9">
        <v>19062.7</v>
      </c>
      <c r="H23" s="21">
        <v>150.10692717297289</v>
      </c>
      <c r="J23">
        <f t="shared" si="3"/>
        <v>1.5151536627936653</v>
      </c>
      <c r="K23" s="23">
        <v>50021.890333333336</v>
      </c>
      <c r="L23" s="23">
        <v>7275.7123333333338</v>
      </c>
      <c r="M23" s="13">
        <v>-1061.4047080844994</v>
      </c>
      <c r="O23">
        <f t="shared" si="0"/>
        <v>33014.400823941614</v>
      </c>
      <c r="P23">
        <f t="shared" si="1"/>
        <v>4801.963333486754</v>
      </c>
      <c r="Q23">
        <f t="shared" si="2"/>
        <v>-700.52611437935866</v>
      </c>
      <c r="S23">
        <f t="shared" si="4"/>
        <v>-1.2637927036853833</v>
      </c>
    </row>
    <row r="24" spans="1:19" x14ac:dyDescent="0.2">
      <c r="A24">
        <v>413.61119045358959</v>
      </c>
      <c r="B24" s="4">
        <v>30530.224605879535</v>
      </c>
      <c r="C24" s="7">
        <v>64.62</v>
      </c>
      <c r="D24" s="13">
        <v>-1119.0425428513008</v>
      </c>
      <c r="E24" s="23">
        <v>5.4846123505399804</v>
      </c>
      <c r="F24" s="18">
        <v>138.79247377201966</v>
      </c>
      <c r="G24" s="9">
        <v>19197.900000000001</v>
      </c>
      <c r="H24" s="21">
        <v>152.65874493491344</v>
      </c>
      <c r="J24">
        <f t="shared" si="3"/>
        <v>1.5367395996846891</v>
      </c>
      <c r="K24" s="23">
        <v>49962.216333333323</v>
      </c>
      <c r="L24" s="23">
        <v>7379.7993333333334</v>
      </c>
      <c r="M24" s="13">
        <v>-1119.0425428513008</v>
      </c>
      <c r="O24">
        <f t="shared" si="0"/>
        <v>32511.829813967608</v>
      </c>
      <c r="P24">
        <f t="shared" si="1"/>
        <v>4802.2445278611503</v>
      </c>
      <c r="Q24">
        <f t="shared" si="2"/>
        <v>-728.1926899527466</v>
      </c>
      <c r="S24">
        <f t="shared" si="4"/>
        <v>-3.9493996020261928E-2</v>
      </c>
    </row>
    <row r="25" spans="1:19" x14ac:dyDescent="0.2">
      <c r="A25">
        <v>417.56056178264555</v>
      </c>
      <c r="B25" s="4">
        <v>30790.392662803191</v>
      </c>
      <c r="C25" s="7">
        <v>63.07</v>
      </c>
      <c r="D25" s="14">
        <v>-3142.1381618801024</v>
      </c>
      <c r="E25" s="23">
        <v>5.3597228583764398</v>
      </c>
      <c r="F25" s="18">
        <v>139.9028135621958</v>
      </c>
      <c r="G25" s="9">
        <v>19304.400000000001</v>
      </c>
      <c r="H25" s="21">
        <v>155.10128485387204</v>
      </c>
      <c r="J25">
        <f t="shared" si="3"/>
        <v>1.5514131758724219</v>
      </c>
      <c r="K25" s="23">
        <v>49521.638333333329</v>
      </c>
      <c r="L25" s="23">
        <v>7469.6123333333335</v>
      </c>
      <c r="M25" s="14">
        <v>-3142.1381618801024</v>
      </c>
      <c r="O25">
        <f t="shared" si="0"/>
        <v>31920.341468987026</v>
      </c>
      <c r="P25">
        <f t="shared" si="1"/>
        <v>4814.7150285305979</v>
      </c>
      <c r="Q25">
        <f t="shared" si="2"/>
        <v>-2025.3393555931043</v>
      </c>
      <c r="S25">
        <f t="shared" si="4"/>
        <v>-1.7813233825850838</v>
      </c>
    </row>
    <row r="26" spans="1:19" x14ac:dyDescent="0.2">
      <c r="A26">
        <v>419.94127276266869</v>
      </c>
      <c r="B26" s="4">
        <v>30886.786160413565</v>
      </c>
      <c r="C26" s="7">
        <v>58.81</v>
      </c>
      <c r="D26" s="13">
        <v>144.11483791341925</v>
      </c>
      <c r="E26" s="23">
        <v>5.3356494562539396</v>
      </c>
      <c r="F26" s="18">
        <v>141.02203607069336</v>
      </c>
      <c r="G26" s="9">
        <v>19398.3</v>
      </c>
      <c r="H26" s="21">
        <v>157.89310798124174</v>
      </c>
      <c r="J26">
        <f t="shared" si="3"/>
        <v>1.5602585188487412</v>
      </c>
      <c r="K26" s="23">
        <v>51078.635000000002</v>
      </c>
      <c r="L26" s="23">
        <v>8080.4603333333334</v>
      </c>
      <c r="M26" s="13">
        <v>144.11483791341925</v>
      </c>
      <c r="O26">
        <f t="shared" si="0"/>
        <v>32737.289611268454</v>
      </c>
      <c r="P26">
        <f t="shared" si="1"/>
        <v>5178.9240281127359</v>
      </c>
      <c r="Q26">
        <f t="shared" si="2"/>
        <v>92.365999718916086</v>
      </c>
      <c r="S26">
        <f t="shared" si="4"/>
        <v>1.0456051967112778</v>
      </c>
    </row>
    <row r="27" spans="1:19" x14ac:dyDescent="0.2">
      <c r="A27">
        <v>425.56665075297883</v>
      </c>
      <c r="B27" s="4">
        <v>31104.541621590266</v>
      </c>
      <c r="C27" s="7">
        <v>57.14</v>
      </c>
      <c r="D27" s="13">
        <v>64.530831622598271</v>
      </c>
      <c r="E27" s="23">
        <v>5.2208689698603497</v>
      </c>
      <c r="F27" s="18">
        <v>142.00919032318822</v>
      </c>
      <c r="G27" s="9">
        <v>19506.900000000001</v>
      </c>
      <c r="H27" s="21">
        <v>160.73518392490408</v>
      </c>
      <c r="J27">
        <f t="shared" si="3"/>
        <v>1.5811591649638135</v>
      </c>
      <c r="K27" s="23">
        <v>50982.009333333328</v>
      </c>
      <c r="L27" s="23">
        <v>8368.9536666666663</v>
      </c>
      <c r="M27" s="13">
        <v>64.530831622598271</v>
      </c>
      <c r="O27">
        <f t="shared" si="0"/>
        <v>32243.439157183209</v>
      </c>
      <c r="P27">
        <f t="shared" si="1"/>
        <v>5292.9229720261583</v>
      </c>
      <c r="Q27">
        <f t="shared" si="2"/>
        <v>40.812356562519199</v>
      </c>
      <c r="S27">
        <f t="shared" si="4"/>
        <v>-0.55814524081677819</v>
      </c>
    </row>
    <row r="28" spans="1:19" x14ac:dyDescent="0.2">
      <c r="A28">
        <v>425.88985832112195</v>
      </c>
      <c r="B28" s="4">
        <v>31280.502884747821</v>
      </c>
      <c r="C28" s="7">
        <v>59</v>
      </c>
      <c r="D28" s="13">
        <v>389.35525160649922</v>
      </c>
      <c r="E28" s="23">
        <v>5.1852679756841704</v>
      </c>
      <c r="F28" s="18">
        <v>143.00325465545055</v>
      </c>
      <c r="G28" s="9">
        <v>19660.8</v>
      </c>
      <c r="H28" s="21">
        <v>163.46768205162746</v>
      </c>
      <c r="J28">
        <f t="shared" si="3"/>
        <v>1.582360017069238</v>
      </c>
      <c r="K28" s="23">
        <v>51977.01</v>
      </c>
      <c r="L28" s="23">
        <v>8604.2093333333341</v>
      </c>
      <c r="M28" s="13">
        <v>389.35525160649922</v>
      </c>
      <c r="O28">
        <f t="shared" si="0"/>
        <v>32847.77764814168</v>
      </c>
      <c r="P28">
        <f t="shared" si="1"/>
        <v>5437.5800958808268</v>
      </c>
      <c r="Q28">
        <f t="shared" si="2"/>
        <v>246.05983935794967</v>
      </c>
      <c r="S28">
        <f t="shared" si="4"/>
        <v>5.0290524753457486</v>
      </c>
    </row>
    <row r="29" spans="1:19" x14ac:dyDescent="0.2">
      <c r="A29">
        <v>428.18602576159958</v>
      </c>
      <c r="B29" s="4">
        <v>31211.482131865851</v>
      </c>
      <c r="C29" s="7">
        <v>58.41</v>
      </c>
      <c r="D29" s="14">
        <v>-1349.0736940310999</v>
      </c>
      <c r="E29" s="23">
        <v>5.0610197368029102</v>
      </c>
      <c r="F29" s="18">
        <v>144.14728069269415</v>
      </c>
      <c r="G29" s="9">
        <v>19882.400000000001</v>
      </c>
      <c r="H29" s="21">
        <v>165.91969728240187</v>
      </c>
      <c r="J29">
        <f t="shared" si="3"/>
        <v>1.5908912452244022</v>
      </c>
      <c r="K29" s="23">
        <v>52093.047999999988</v>
      </c>
      <c r="L29" s="23">
        <v>9005.2940621023736</v>
      </c>
      <c r="M29" s="14">
        <v>-1349.0736940310999</v>
      </c>
      <c r="O29">
        <f t="shared" si="0"/>
        <v>32744.568905244076</v>
      </c>
      <c r="P29">
        <f t="shared" si="1"/>
        <v>5660.5340491594307</v>
      </c>
      <c r="Q29">
        <f t="shared" si="2"/>
        <v>-847.9986913503991</v>
      </c>
      <c r="S29">
        <f t="shared" si="4"/>
        <v>-4.4463108387094135</v>
      </c>
    </row>
    <row r="30" spans="1:19" x14ac:dyDescent="0.2">
      <c r="A30">
        <v>430.0111234722188</v>
      </c>
      <c r="B30" s="4">
        <v>31725.398057840299</v>
      </c>
      <c r="C30" s="7">
        <v>56.87</v>
      </c>
      <c r="D30" s="15">
        <v>712.7136416707408</v>
      </c>
      <c r="E30" s="23">
        <v>4.90461775939497</v>
      </c>
      <c r="F30" s="18">
        <v>144.14728069269415</v>
      </c>
      <c r="G30" s="9">
        <v>20044.099999999999</v>
      </c>
      <c r="H30" s="21">
        <v>169.07217153076752</v>
      </c>
      <c r="J30">
        <f t="shared" si="3"/>
        <v>1.5976722511302788</v>
      </c>
      <c r="K30" s="23">
        <v>54296.71100000001</v>
      </c>
      <c r="L30" s="23">
        <v>8228.5837666666666</v>
      </c>
      <c r="M30" s="15">
        <v>712.7136416707408</v>
      </c>
      <c r="O30">
        <f t="shared" si="0"/>
        <v>33984.887051513608</v>
      </c>
      <c r="P30">
        <f t="shared" si="1"/>
        <v>5150.3578164077935</v>
      </c>
      <c r="Q30">
        <f t="shared" si="2"/>
        <v>446.09502428707083</v>
      </c>
      <c r="S30">
        <f t="shared" si="4"/>
        <v>1.5260562649886698</v>
      </c>
    </row>
    <row r="31" spans="1:19" x14ac:dyDescent="0.2">
      <c r="A31">
        <v>435.47218486245924</v>
      </c>
      <c r="B31" s="4">
        <v>31943.162029648258</v>
      </c>
      <c r="C31" s="7">
        <v>61.77</v>
      </c>
      <c r="D31" s="15">
        <v>1514.6967747126982</v>
      </c>
      <c r="E31" s="23">
        <v>4.8311288252501701</v>
      </c>
      <c r="F31" s="18">
        <v>144.86801709615762</v>
      </c>
      <c r="G31" s="9">
        <v>20150.5</v>
      </c>
      <c r="H31" s="21">
        <v>172.11547061832135</v>
      </c>
      <c r="J31">
        <f t="shared" si="3"/>
        <v>1.6179623919397867</v>
      </c>
      <c r="K31" s="23">
        <v>55865.934333333338</v>
      </c>
      <c r="L31" s="23">
        <v>8743.6580000000013</v>
      </c>
      <c r="M31" s="15">
        <v>1514.6967747126982</v>
      </c>
      <c r="O31">
        <f t="shared" si="0"/>
        <v>34528.574095195916</v>
      </c>
      <c r="P31">
        <f t="shared" si="1"/>
        <v>5404.1169581928089</v>
      </c>
      <c r="Q31">
        <f t="shared" si="2"/>
        <v>936.17551449803318</v>
      </c>
      <c r="S31">
        <f t="shared" si="4"/>
        <v>1.098601113056993</v>
      </c>
    </row>
    <row r="32" spans="1:19" x14ac:dyDescent="0.2">
      <c r="A32">
        <v>440.58426228387594</v>
      </c>
      <c r="B32" s="4">
        <v>32033.608077937795</v>
      </c>
      <c r="C32" s="7">
        <v>65.510000000000005</v>
      </c>
      <c r="D32" s="15">
        <v>3434.0957173528004</v>
      </c>
      <c r="E32" s="23">
        <v>4.7568232238011996</v>
      </c>
      <c r="F32" s="18">
        <v>145.01288511325376</v>
      </c>
      <c r="G32" s="9">
        <v>20276.2</v>
      </c>
      <c r="H32" s="21">
        <v>174.69720267759618</v>
      </c>
      <c r="J32">
        <f t="shared" si="3"/>
        <v>1.6369559104699063</v>
      </c>
      <c r="K32" s="23">
        <v>57338.347999999998</v>
      </c>
      <c r="L32" s="23">
        <v>8996.5216666666674</v>
      </c>
      <c r="M32" s="15">
        <v>3434.0957173528004</v>
      </c>
      <c r="O32">
        <f t="shared" si="0"/>
        <v>35027.423544682024</v>
      </c>
      <c r="P32">
        <f t="shared" si="1"/>
        <v>5495.8851421258596</v>
      </c>
      <c r="Q32">
        <f t="shared" si="2"/>
        <v>2097.8547408567683</v>
      </c>
      <c r="S32">
        <f t="shared" si="4"/>
        <v>1.2408776008007585</v>
      </c>
    </row>
    <row r="33" spans="1:19" x14ac:dyDescent="0.2">
      <c r="A33">
        <v>446.4550821419075</v>
      </c>
      <c r="B33" s="4">
        <v>32131.04795283802</v>
      </c>
      <c r="C33" s="7">
        <v>66.47</v>
      </c>
      <c r="D33" s="14">
        <v>3035.6410723028966</v>
      </c>
      <c r="E33" s="23">
        <v>4.7154159752337197</v>
      </c>
      <c r="F33" s="18">
        <v>145.73794953882003</v>
      </c>
      <c r="G33" s="9">
        <v>20304.900000000001</v>
      </c>
      <c r="H33" s="21">
        <v>176.79356910972731</v>
      </c>
      <c r="J33">
        <f t="shared" si="3"/>
        <v>1.6587684763933728</v>
      </c>
      <c r="K33" s="23">
        <v>57856.255666666671</v>
      </c>
      <c r="L33" s="23">
        <v>9091.842333333334</v>
      </c>
      <c r="M33" s="14">
        <v>3035.6410723028966</v>
      </c>
      <c r="O33">
        <f t="shared" si="0"/>
        <v>34879.042187046121</v>
      </c>
      <c r="P33">
        <f t="shared" si="1"/>
        <v>5481.0797665395385</v>
      </c>
      <c r="Q33">
        <f t="shared" si="2"/>
        <v>1830.0571270218677</v>
      </c>
      <c r="S33">
        <f t="shared" si="4"/>
        <v>-0.12765307750789814</v>
      </c>
    </row>
    <row r="34" spans="1:19" x14ac:dyDescent="0.2">
      <c r="A34">
        <v>452.53849190677698</v>
      </c>
      <c r="B34" s="4">
        <v>32248.198529662375</v>
      </c>
      <c r="C34" s="7">
        <v>66.105400000000003</v>
      </c>
      <c r="D34" s="15">
        <v>1334.7365205457509</v>
      </c>
      <c r="E34" s="23">
        <v>4.6781159586035201</v>
      </c>
      <c r="F34" s="18">
        <v>146.75811518559178</v>
      </c>
      <c r="G34" s="9">
        <v>20431.599999999999</v>
      </c>
      <c r="H34" s="21">
        <v>179.97585335370241</v>
      </c>
      <c r="J34">
        <f t="shared" si="3"/>
        <v>1.6813709032680693</v>
      </c>
      <c r="K34" s="23">
        <v>60552.917666666654</v>
      </c>
      <c r="L34" s="23">
        <v>9205.8649999999998</v>
      </c>
      <c r="M34" s="15">
        <v>1334.7365205457509</v>
      </c>
      <c r="O34">
        <f t="shared" si="0"/>
        <v>36014.015437623166</v>
      </c>
      <c r="P34">
        <f t="shared" si="1"/>
        <v>5475.2136974100258</v>
      </c>
      <c r="Q34">
        <f t="shared" si="2"/>
        <v>793.8382411349171</v>
      </c>
      <c r="S34">
        <f t="shared" si="4"/>
        <v>-0.56622215262385556</v>
      </c>
    </row>
    <row r="35" spans="1:19" x14ac:dyDescent="0.2">
      <c r="A35">
        <v>455.80055833381601</v>
      </c>
      <c r="B35" s="4">
        <v>32504.402944833728</v>
      </c>
      <c r="C35" s="7">
        <v>64.5518</v>
      </c>
      <c r="D35" s="15">
        <v>2637.3531368229978</v>
      </c>
      <c r="E35" s="23">
        <v>4.6005095320224596</v>
      </c>
      <c r="F35" s="18">
        <v>147.34514764633414</v>
      </c>
      <c r="G35" s="9">
        <v>20602.3</v>
      </c>
      <c r="H35" s="21">
        <v>183.03544286071534</v>
      </c>
      <c r="J35">
        <f t="shared" si="3"/>
        <v>1.693490852560871</v>
      </c>
      <c r="K35" s="23">
        <v>60531.863666666672</v>
      </c>
      <c r="L35" s="23">
        <v>9809.9213333333337</v>
      </c>
      <c r="M35" s="15">
        <v>2637.3531368229978</v>
      </c>
      <c r="O35">
        <f t="shared" si="0"/>
        <v>35743.838577652379</v>
      </c>
      <c r="P35">
        <f t="shared" si="1"/>
        <v>5792.7217726029758</v>
      </c>
      <c r="Q35">
        <f t="shared" si="2"/>
        <v>1557.3471405734686</v>
      </c>
      <c r="S35">
        <f t="shared" si="4"/>
        <v>0.96179405308944921</v>
      </c>
    </row>
    <row r="36" spans="1:19" x14ac:dyDescent="0.2">
      <c r="A36">
        <v>458.14450170914773</v>
      </c>
      <c r="B36" s="4">
        <v>32974.729171977946</v>
      </c>
      <c r="C36" s="7">
        <v>64.560900000000004</v>
      </c>
      <c r="D36" s="15">
        <v>3993.5013535211983</v>
      </c>
      <c r="E36" s="23">
        <v>4.57517917327801</v>
      </c>
      <c r="F36" s="18">
        <v>147.63983794162681</v>
      </c>
      <c r="G36" s="9">
        <v>20843.3</v>
      </c>
      <c r="H36" s="21">
        <v>185.41490361790463</v>
      </c>
      <c r="J36">
        <f t="shared" si="3"/>
        <v>1.7021995884157703</v>
      </c>
      <c r="K36" s="23">
        <v>61242.534999999996</v>
      </c>
      <c r="L36" s="23">
        <v>10359.059333333333</v>
      </c>
      <c r="M36" s="15">
        <v>3993.5013535211983</v>
      </c>
      <c r="O36">
        <f t="shared" si="0"/>
        <v>35978.468927370704</v>
      </c>
      <c r="P36">
        <f t="shared" si="1"/>
        <v>6085.6901880551286</v>
      </c>
      <c r="Q36">
        <f t="shared" si="2"/>
        <v>2346.0829039665864</v>
      </c>
      <c r="S36">
        <f t="shared" si="4"/>
        <v>0.5064611112347619</v>
      </c>
    </row>
    <row r="37" spans="1:19" x14ac:dyDescent="0.2">
      <c r="A37">
        <v>460.03872315567128</v>
      </c>
      <c r="B37" s="4">
        <v>32877.375420059769</v>
      </c>
      <c r="C37" s="7">
        <v>63.715400000000002</v>
      </c>
      <c r="D37" s="14">
        <v>2115.3442810014967</v>
      </c>
      <c r="E37" s="23">
        <v>4.5530459219335997</v>
      </c>
      <c r="F37" s="18">
        <v>147.49219810368518</v>
      </c>
      <c r="G37" s="9">
        <v>20985.4</v>
      </c>
      <c r="H37" s="21">
        <v>187.08363775046578</v>
      </c>
      <c r="J37">
        <f t="shared" si="3"/>
        <v>1.7092374180843837</v>
      </c>
      <c r="K37" s="23">
        <v>62123.553666666667</v>
      </c>
      <c r="L37" s="23">
        <v>10671.883333333333</v>
      </c>
      <c r="M37" s="14">
        <v>2115.3442810014967</v>
      </c>
      <c r="O37">
        <f t="shared" si="0"/>
        <v>36345.772102445088</v>
      </c>
      <c r="P37">
        <f t="shared" si="1"/>
        <v>6243.6518300036832</v>
      </c>
      <c r="Q37">
        <f t="shared" si="2"/>
        <v>1237.5953501955594</v>
      </c>
      <c r="S37">
        <f t="shared" si="4"/>
        <v>-0.47248439170537276</v>
      </c>
    </row>
    <row r="38" spans="1:19" x14ac:dyDescent="0.2">
      <c r="A38">
        <v>464.15612111787846</v>
      </c>
      <c r="B38" s="4">
        <v>32651.91382753056</v>
      </c>
      <c r="C38" s="7">
        <v>66.089799999999997</v>
      </c>
      <c r="D38" s="15">
        <v>621.39778224886868</v>
      </c>
      <c r="E38" s="23">
        <v>4.5270946571536399</v>
      </c>
      <c r="F38" s="18">
        <v>142.77244776436726</v>
      </c>
      <c r="G38" s="9">
        <v>20709.2</v>
      </c>
      <c r="H38" s="21">
        <v>167.4398557866669</v>
      </c>
      <c r="J38">
        <f t="shared" si="3"/>
        <v>1.7245352839115773</v>
      </c>
      <c r="K38" s="23">
        <v>64645.983999999997</v>
      </c>
      <c r="L38" s="23">
        <v>10217.536127232341</v>
      </c>
      <c r="M38" s="15">
        <v>621.39778224886868</v>
      </c>
      <c r="O38">
        <f t="shared" si="0"/>
        <v>37486.031514165654</v>
      </c>
      <c r="P38">
        <f t="shared" si="1"/>
        <v>5924.8054954590471</v>
      </c>
      <c r="Q38">
        <f t="shared" si="2"/>
        <v>360.32767090703948</v>
      </c>
      <c r="S38">
        <f t="shared" si="4"/>
        <v>-0.70884855793123169</v>
      </c>
    </row>
    <row r="39" spans="1:19" x14ac:dyDescent="0.2">
      <c r="A39">
        <v>470.75204067614618</v>
      </c>
      <c r="B39" s="4">
        <v>30165.360060472012</v>
      </c>
      <c r="C39" s="7">
        <v>72.308000000000007</v>
      </c>
      <c r="D39" s="15">
        <v>-849.81755460930071</v>
      </c>
      <c r="E39" s="23">
        <v>6.1002023997220203</v>
      </c>
      <c r="F39" s="18">
        <v>126.92470606252249</v>
      </c>
      <c r="G39" s="9">
        <v>19078</v>
      </c>
      <c r="H39" s="21">
        <v>189.03959718314695</v>
      </c>
      <c r="J39">
        <f t="shared" si="3"/>
        <v>1.7490419003075428</v>
      </c>
      <c r="K39" s="23">
        <v>68112.246666666659</v>
      </c>
      <c r="L39" s="23">
        <v>10580.641548553731</v>
      </c>
      <c r="M39" s="15">
        <v>-849.81755460930071</v>
      </c>
      <c r="O39">
        <f t="shared" si="0"/>
        <v>38942.604322223582</v>
      </c>
      <c r="P39">
        <f t="shared" si="1"/>
        <v>6049.3928399847273</v>
      </c>
      <c r="Q39">
        <f t="shared" si="2"/>
        <v>-485.87604131145918</v>
      </c>
      <c r="S39">
        <f t="shared" si="4"/>
        <v>-2.3484283349329829</v>
      </c>
    </row>
    <row r="40" spans="1:19" x14ac:dyDescent="0.2">
      <c r="A40">
        <v>475.47471268290718</v>
      </c>
      <c r="B40" s="4">
        <v>32124.769987153941</v>
      </c>
      <c r="C40" s="7">
        <v>73.555099999999996</v>
      </c>
      <c r="D40" s="15">
        <v>-1860.4257439964022</v>
      </c>
      <c r="E40" s="23">
        <v>6.5078540855290701</v>
      </c>
      <c r="F40" s="18">
        <v>141.52104725971259</v>
      </c>
      <c r="G40" s="9">
        <v>20558.900000000001</v>
      </c>
      <c r="H40" s="21">
        <v>194.71078509864137</v>
      </c>
      <c r="J40">
        <f t="shared" si="3"/>
        <v>1.7665886138796612</v>
      </c>
      <c r="K40" s="23">
        <v>69775.574333333338</v>
      </c>
      <c r="L40" s="23">
        <v>11386.205179459566</v>
      </c>
      <c r="M40" s="15">
        <v>-1860.4257439964022</v>
      </c>
      <c r="O40">
        <f t="shared" si="0"/>
        <v>39497.353138768958</v>
      </c>
      <c r="P40">
        <f t="shared" si="1"/>
        <v>6445.3065586412677</v>
      </c>
      <c r="Q40">
        <f t="shared" si="2"/>
        <v>-1053.1177034536991</v>
      </c>
      <c r="S40">
        <f t="shared" si="4"/>
        <v>-1.1674616855178979</v>
      </c>
    </row>
    <row r="41" spans="1:19" x14ac:dyDescent="0.2">
      <c r="A41">
        <v>482.83507053908858</v>
      </c>
      <c r="B41" s="4">
        <v>32407.085947678828</v>
      </c>
      <c r="C41" s="7">
        <v>76.208100000000002</v>
      </c>
      <c r="D41" s="14">
        <v>-4297.3174275927013</v>
      </c>
      <c r="E41" s="23">
        <v>6.0415048858869804</v>
      </c>
      <c r="F41" s="18">
        <v>142.08713144875145</v>
      </c>
      <c r="G41" s="9">
        <v>20791.900000000001</v>
      </c>
      <c r="H41" s="21">
        <v>199.1891331559101</v>
      </c>
      <c r="J41">
        <f t="shared" si="3"/>
        <v>1.7939354401902357</v>
      </c>
      <c r="K41" s="23">
        <v>72393.161999999997</v>
      </c>
      <c r="L41" s="23">
        <v>13670.928569551334</v>
      </c>
      <c r="M41" s="14">
        <v>-4297.3174275927013</v>
      </c>
      <c r="O41">
        <f t="shared" si="0"/>
        <v>40354.385324102383</v>
      </c>
      <c r="P41">
        <f t="shared" si="1"/>
        <v>7620.6357616200594</v>
      </c>
      <c r="Q41">
        <f t="shared" si="2"/>
        <v>-2395.4693860872708</v>
      </c>
      <c r="S41">
        <f t="shared" si="4"/>
        <v>-1.2746454439340731</v>
      </c>
    </row>
    <row r="42" spans="1:19" x14ac:dyDescent="0.2">
      <c r="A42">
        <v>490.20631697559952</v>
      </c>
      <c r="B42" s="4">
        <v>32978.103251065259</v>
      </c>
      <c r="C42" s="7">
        <v>74.337800000000001</v>
      </c>
      <c r="D42" s="15">
        <v>662.03517001216824</v>
      </c>
      <c r="E42" s="23">
        <v>5.4909628881808903</v>
      </c>
      <c r="F42" s="18">
        <v>143.22382850034145</v>
      </c>
      <c r="G42" s="9">
        <v>21082.1</v>
      </c>
      <c r="H42" s="21">
        <v>199.1891331559101</v>
      </c>
      <c r="J42">
        <f t="shared" si="3"/>
        <v>1.8213227221581108</v>
      </c>
      <c r="K42" s="23">
        <v>75209.686666666661</v>
      </c>
      <c r="L42" s="23">
        <v>14808.758666666667</v>
      </c>
      <c r="M42" s="15">
        <v>662.03517001216824</v>
      </c>
      <c r="O42">
        <f t="shared" si="0"/>
        <v>41293.992410938379</v>
      </c>
      <c r="P42">
        <f t="shared" si="1"/>
        <v>8130.7713819764804</v>
      </c>
      <c r="Q42">
        <f t="shared" si="2"/>
        <v>363.49141311305527</v>
      </c>
      <c r="S42">
        <f t="shared" si="4"/>
        <v>1.1517412058046701</v>
      </c>
    </row>
    <row r="43" spans="1:19" x14ac:dyDescent="0.2">
      <c r="A43">
        <v>501.14540856826983</v>
      </c>
      <c r="B43" s="4">
        <v>33560.853166894318</v>
      </c>
      <c r="C43" s="7">
        <v>74.199700000000007</v>
      </c>
      <c r="D43" s="15">
        <v>1408.0081977091977</v>
      </c>
      <c r="E43" s="23">
        <v>5.0224126091665404</v>
      </c>
      <c r="F43" s="18">
        <v>146.37475272734898</v>
      </c>
      <c r="G43" s="9">
        <v>21440.9</v>
      </c>
      <c r="H43" s="21">
        <v>204.7664288842756</v>
      </c>
      <c r="J43">
        <f t="shared" si="3"/>
        <v>1.8619660500540485</v>
      </c>
      <c r="K43" s="23">
        <v>76001.73633333332</v>
      </c>
      <c r="L43" s="23">
        <v>15749.1065236949</v>
      </c>
      <c r="M43" s="15">
        <v>1408.0081977091977</v>
      </c>
      <c r="O43">
        <f t="shared" si="0"/>
        <v>40818.003277303134</v>
      </c>
      <c r="P43">
        <f t="shared" si="1"/>
        <v>8458.3209899223129</v>
      </c>
      <c r="Q43">
        <f t="shared" si="2"/>
        <v>756.19434504099934</v>
      </c>
      <c r="S43">
        <f t="shared" si="4"/>
        <v>1.0803637108362811</v>
      </c>
    </row>
    <row r="44" spans="1:19" x14ac:dyDescent="0.2">
      <c r="A44">
        <v>510.76011187452889</v>
      </c>
      <c r="B44" s="4">
        <v>33792.734043019598</v>
      </c>
      <c r="C44" s="7">
        <v>73.465800000000002</v>
      </c>
      <c r="D44" s="15">
        <v>2605.3030165916061</v>
      </c>
      <c r="E44" s="23">
        <v>4.5112944046799601</v>
      </c>
      <c r="F44" s="18">
        <v>149.00949827644124</v>
      </c>
      <c r="G44" s="9">
        <v>21617.8</v>
      </c>
      <c r="H44" s="21">
        <v>205.38072817092842</v>
      </c>
      <c r="J44">
        <f t="shared" si="3"/>
        <v>1.8976887182288242</v>
      </c>
      <c r="K44" s="23">
        <v>76490.577000000005</v>
      </c>
      <c r="L44" s="23">
        <v>16336.537504234142</v>
      </c>
      <c r="M44" s="15">
        <v>2605.3030165916061</v>
      </c>
      <c r="O44">
        <f t="shared" si="0"/>
        <v>40307.230719794337</v>
      </c>
      <c r="P44">
        <f t="shared" si="1"/>
        <v>8608.6497470889608</v>
      </c>
      <c r="Q44">
        <f t="shared" si="2"/>
        <v>1372.882175862447</v>
      </c>
      <c r="S44">
        <f t="shared" si="4"/>
        <v>0.81551499937230032</v>
      </c>
    </row>
    <row r="45" spans="1:19" x14ac:dyDescent="0.2">
      <c r="A45">
        <v>523.35591885280201</v>
      </c>
      <c r="B45" s="4">
        <v>34139.779239489508</v>
      </c>
      <c r="C45" s="7">
        <v>72.592600000000004</v>
      </c>
      <c r="D45" s="14">
        <v>1045.722293988103</v>
      </c>
      <c r="E45" s="23">
        <v>4.2675397277132801</v>
      </c>
      <c r="F45" s="18">
        <v>150.20157426265277</v>
      </c>
      <c r="G45" s="9">
        <v>21988.7</v>
      </c>
      <c r="H45" s="21">
        <v>208.25605836532145</v>
      </c>
      <c r="J45">
        <f t="shared" si="3"/>
        <v>1.9444874408462409</v>
      </c>
      <c r="K45" s="23">
        <v>78837.514999999999</v>
      </c>
      <c r="L45" s="23">
        <v>16726.919616811701</v>
      </c>
      <c r="M45" s="14">
        <v>1045.722293988103</v>
      </c>
      <c r="O45">
        <f t="shared" si="0"/>
        <v>40544.111185253998</v>
      </c>
      <c r="P45">
        <f t="shared" si="1"/>
        <v>8602.2255867757867</v>
      </c>
      <c r="Q45">
        <f t="shared" si="2"/>
        <v>537.78814510265215</v>
      </c>
      <c r="S45">
        <f t="shared" si="4"/>
        <v>-0.60827800480051197</v>
      </c>
    </row>
    <row r="46" spans="1:19" x14ac:dyDescent="0.2">
      <c r="A46">
        <v>571.76947462868168</v>
      </c>
      <c r="B46" s="4">
        <v>34148.233890311458</v>
      </c>
      <c r="C46" s="7">
        <v>84.733699999999999</v>
      </c>
      <c r="D46" s="15">
        <v>2547.3705164531984</v>
      </c>
      <c r="E46" s="23">
        <v>4.1214482345681702</v>
      </c>
      <c r="F46" s="18">
        <v>151.25298528249132</v>
      </c>
      <c r="G46" s="9">
        <v>21932.7</v>
      </c>
      <c r="H46" s="21">
        <v>208.46431442368677</v>
      </c>
      <c r="J46">
        <f t="shared" si="3"/>
        <v>2.1243641705854617</v>
      </c>
      <c r="K46" s="23">
        <v>84463.817999999999</v>
      </c>
      <c r="L46" s="23">
        <v>16530.005379541617</v>
      </c>
      <c r="M46" s="15">
        <v>2547.3705164531984</v>
      </c>
      <c r="O46">
        <f t="shared" si="0"/>
        <v>39759.575674222695</v>
      </c>
      <c r="P46">
        <f t="shared" si="1"/>
        <v>7781.1542900321319</v>
      </c>
      <c r="Q46">
        <f t="shared" si="2"/>
        <v>1199.1213896961738</v>
      </c>
      <c r="S46">
        <f t="shared" si="4"/>
        <v>1.2297281943009126</v>
      </c>
    </row>
    <row r="47" spans="1:19" x14ac:dyDescent="0.2">
      <c r="A47">
        <v>580.55623808959547</v>
      </c>
      <c r="B47" s="4">
        <v>32477.114763508554</v>
      </c>
      <c r="C47" s="7">
        <v>66.005600000000001</v>
      </c>
      <c r="D47" s="15">
        <v>2829.4917440796016</v>
      </c>
      <c r="E47" s="23">
        <v>3.98967926678535</v>
      </c>
      <c r="F47" s="18">
        <v>152.61426215003377</v>
      </c>
      <c r="G47" s="9">
        <v>21967</v>
      </c>
      <c r="H47" s="21">
        <v>207.00506422272099</v>
      </c>
      <c r="J47">
        <f t="shared" si="3"/>
        <v>2.1570106938786071</v>
      </c>
      <c r="K47" s="23">
        <v>84038.891000000003</v>
      </c>
      <c r="L47" s="23">
        <v>16612.5010943497</v>
      </c>
      <c r="M47" s="15">
        <v>2829.4917440796016</v>
      </c>
      <c r="O47">
        <f t="shared" si="0"/>
        <v>38960.81333230959</v>
      </c>
      <c r="P47">
        <f t="shared" si="1"/>
        <v>7701.6313092440441</v>
      </c>
      <c r="Q47">
        <f t="shared" si="2"/>
        <v>1311.7652833662032</v>
      </c>
      <c r="S47">
        <f t="shared" si="4"/>
        <v>9.3938690976541159E-2</v>
      </c>
    </row>
    <row r="48" spans="1:19" x14ac:dyDescent="0.2">
      <c r="A48">
        <v>580.13221022936762</v>
      </c>
      <c r="B48" s="4">
        <v>32842.488131170925</v>
      </c>
      <c r="C48" s="7">
        <v>59.400399999999998</v>
      </c>
      <c r="D48" s="15">
        <v>1440.5219226826011</v>
      </c>
      <c r="E48" s="23">
        <v>3.9286776623013102</v>
      </c>
      <c r="F48" s="18">
        <v>153.37733346078394</v>
      </c>
      <c r="G48" s="9">
        <v>22125.599999999999</v>
      </c>
      <c r="H48" s="21">
        <v>213.62922627784806</v>
      </c>
      <c r="J48">
        <f t="shared" si="3"/>
        <v>2.1554352519678912</v>
      </c>
      <c r="K48" s="23">
        <v>83441.228333333333</v>
      </c>
      <c r="L48" s="23">
        <v>16379.61933333333</v>
      </c>
      <c r="M48" s="15">
        <v>1440.5219226826011</v>
      </c>
      <c r="O48">
        <f t="shared" si="0"/>
        <v>38712.008749579611</v>
      </c>
      <c r="P48">
        <f t="shared" si="1"/>
        <v>7599.2165936689116</v>
      </c>
      <c r="Q48">
        <f t="shared" si="2"/>
        <v>668.32066579936406</v>
      </c>
      <c r="S48">
        <f t="shared" si="4"/>
        <v>-0.49051810238159038</v>
      </c>
    </row>
    <row r="49" spans="1:19" x14ac:dyDescent="0.2">
      <c r="A49">
        <v>584.47805002739221</v>
      </c>
      <c r="B49" s="4">
        <v>33379.247827821513</v>
      </c>
      <c r="C49" s="7">
        <v>62.3249</v>
      </c>
      <c r="D49" s="14">
        <v>-2107.616913548205</v>
      </c>
      <c r="E49" s="23">
        <v>3.7197471921320502</v>
      </c>
      <c r="F49" s="18">
        <v>153.22395612732316</v>
      </c>
      <c r="G49" s="9">
        <v>22278.3</v>
      </c>
      <c r="H49" s="21">
        <v>214.69737240923729</v>
      </c>
      <c r="J49">
        <f t="shared" si="3"/>
        <v>2.1715818753321821</v>
      </c>
      <c r="K49" s="23">
        <v>86863.265666666673</v>
      </c>
      <c r="L49" s="23">
        <v>16694.788</v>
      </c>
      <c r="M49" s="14">
        <v>-2107.616913548205</v>
      </c>
      <c r="O49">
        <f t="shared" si="0"/>
        <v>39999.995695939113</v>
      </c>
      <c r="P49">
        <f t="shared" si="1"/>
        <v>7687.8464448623363</v>
      </c>
      <c r="Q49">
        <f t="shared" si="2"/>
        <v>-970.54453138029055</v>
      </c>
      <c r="S49">
        <f t="shared" si="4"/>
        <v>-2.4522138563820155</v>
      </c>
    </row>
    <row r="50" spans="1:19" x14ac:dyDescent="0.2">
      <c r="A50">
        <v>590.86508579934195</v>
      </c>
      <c r="B50" s="4">
        <v>33818.454689034283</v>
      </c>
      <c r="C50" s="7">
        <v>72.716999999999999</v>
      </c>
      <c r="D50" s="15">
        <v>-1731.3046947775001</v>
      </c>
      <c r="E50" s="23">
        <v>3.4652935495016202</v>
      </c>
      <c r="F50" s="18">
        <v>153.22395612732316</v>
      </c>
      <c r="G50" s="9">
        <v>22439.599999999999</v>
      </c>
      <c r="H50" s="21">
        <v>218.13253036778508</v>
      </c>
      <c r="J50">
        <f t="shared" si="3"/>
        <v>2.1953124005740015</v>
      </c>
      <c r="K50" s="23">
        <v>95421.887666666662</v>
      </c>
      <c r="L50" s="23">
        <v>18908.419730775833</v>
      </c>
      <c r="M50" s="15">
        <v>-1731.3046947775001</v>
      </c>
      <c r="O50">
        <f t="shared" si="0"/>
        <v>43466.199909278061</v>
      </c>
      <c r="P50">
        <f t="shared" si="1"/>
        <v>8613.0883813310156</v>
      </c>
      <c r="Q50">
        <f t="shared" si="2"/>
        <v>-788.63704970865251</v>
      </c>
      <c r="S50">
        <f t="shared" si="4"/>
        <v>0.187428269172701</v>
      </c>
    </row>
    <row r="51" spans="1:19" x14ac:dyDescent="0.2">
      <c r="A51">
        <v>597.70842601570564</v>
      </c>
      <c r="B51" s="4">
        <v>34281.73899482072</v>
      </c>
      <c r="C51" s="7">
        <v>80.969700000000003</v>
      </c>
      <c r="D51" s="15">
        <v>-2191.0776417654997</v>
      </c>
      <c r="E51" s="23">
        <v>3.2599340366617202</v>
      </c>
      <c r="F51" s="18">
        <v>153.5304040395778</v>
      </c>
      <c r="G51" s="9">
        <v>22580.5</v>
      </c>
      <c r="H51" s="21">
        <v>220.96825326256629</v>
      </c>
      <c r="J51">
        <f t="shared" si="3"/>
        <v>2.2207382888171794</v>
      </c>
      <c r="K51" s="23">
        <v>98287.919666666668</v>
      </c>
      <c r="L51" s="23">
        <v>19585.084666666666</v>
      </c>
      <c r="M51" s="15">
        <v>-2191.0776417654997</v>
      </c>
      <c r="O51">
        <f t="shared" si="0"/>
        <v>44259.11876316469</v>
      </c>
      <c r="P51">
        <f t="shared" si="1"/>
        <v>8819.1772822983876</v>
      </c>
      <c r="Q51">
        <f t="shared" si="2"/>
        <v>-986.64378994992796</v>
      </c>
      <c r="S51">
        <f t="shared" si="4"/>
        <v>-0.25107461070263615</v>
      </c>
    </row>
    <row r="52" spans="1:19" x14ac:dyDescent="0.2">
      <c r="A52">
        <v>615.77787798777877</v>
      </c>
      <c r="B52" s="4">
        <v>34887.39688620442</v>
      </c>
      <c r="C52" s="7">
        <v>94.071200000000005</v>
      </c>
      <c r="D52" s="15">
        <v>-1037.2182050074989</v>
      </c>
      <c r="E52" s="23">
        <v>3.0507045525360299</v>
      </c>
      <c r="F52" s="18">
        <v>153.5304040395778</v>
      </c>
      <c r="G52" s="9">
        <v>22841</v>
      </c>
      <c r="H52" s="21">
        <v>224.50374531476734</v>
      </c>
      <c r="J52">
        <f t="shared" si="3"/>
        <v>2.2878739056258866</v>
      </c>
      <c r="K52" s="23">
        <v>103017.20266666665</v>
      </c>
      <c r="L52" s="23">
        <v>20333.958666666669</v>
      </c>
      <c r="M52" s="15">
        <v>-1037.2182050074989</v>
      </c>
      <c r="O52">
        <f t="shared" si="0"/>
        <v>45027.482683091555</v>
      </c>
      <c r="P52">
        <f t="shared" si="1"/>
        <v>8887.7095091059982</v>
      </c>
      <c r="Q52">
        <f t="shared" si="2"/>
        <v>-453.35461996265497</v>
      </c>
      <c r="S52">
        <f t="shared" si="4"/>
        <v>0.54050831254341281</v>
      </c>
    </row>
    <row r="53" spans="1:19" x14ac:dyDescent="0.2">
      <c r="A53">
        <v>629.48022815822219</v>
      </c>
      <c r="B53" s="4">
        <v>35018.082806826671</v>
      </c>
      <c r="C53" s="7">
        <v>92.731800000000007</v>
      </c>
      <c r="D53" s="14">
        <v>-3910.2117757097003</v>
      </c>
      <c r="E53" s="23">
        <v>2.9131345864834901</v>
      </c>
      <c r="F53" s="18">
        <v>153.68393444361737</v>
      </c>
      <c r="G53" s="9">
        <v>23033.8</v>
      </c>
      <c r="H53" s="21">
        <v>226.52427902260027</v>
      </c>
      <c r="J53">
        <f t="shared" si="3"/>
        <v>2.3387839017809093</v>
      </c>
      <c r="K53" s="23">
        <v>106327.393</v>
      </c>
      <c r="L53" s="23">
        <v>20491.848999999998</v>
      </c>
      <c r="M53" s="14">
        <v>-3910.2117757097003</v>
      </c>
      <c r="O53">
        <f t="shared" si="0"/>
        <v>45462.683798633589</v>
      </c>
      <c r="P53">
        <f t="shared" si="1"/>
        <v>8761.7539116786756</v>
      </c>
      <c r="Q53">
        <f t="shared" si="2"/>
        <v>-1671.8995597379471</v>
      </c>
      <c r="S53">
        <f t="shared" si="4"/>
        <v>-2.6878405692119554</v>
      </c>
    </row>
    <row r="54" spans="1:19" x14ac:dyDescent="0.2">
      <c r="A54">
        <v>637.62917420307735</v>
      </c>
      <c r="B54" s="4">
        <v>35822.451124819447</v>
      </c>
      <c r="C54" s="7">
        <v>90.753500000000003</v>
      </c>
      <c r="D54" s="15">
        <v>606.15724722290179</v>
      </c>
      <c r="E54" s="23">
        <v>2.7260971703088299</v>
      </c>
      <c r="F54" s="18">
        <v>154.14498624694824</v>
      </c>
      <c r="G54" s="9">
        <v>23082.1</v>
      </c>
      <c r="H54" s="21">
        <v>229.46909464989406</v>
      </c>
      <c r="J54">
        <f t="shared" si="3"/>
        <v>2.3690606650113475</v>
      </c>
      <c r="K54" s="23">
        <v>112701.56400000001</v>
      </c>
      <c r="L54" s="23">
        <v>20921.478333333333</v>
      </c>
      <c r="M54" s="15">
        <v>606.15724722290179</v>
      </c>
      <c r="O54">
        <f t="shared" si="0"/>
        <v>47572.257504625864</v>
      </c>
      <c r="P54">
        <f t="shared" si="1"/>
        <v>8831.128152319021</v>
      </c>
      <c r="Q54">
        <f t="shared" si="2"/>
        <v>255.86396168542117</v>
      </c>
      <c r="S54">
        <f t="shared" si="4"/>
        <v>1.1530378784988287</v>
      </c>
    </row>
    <row r="55" spans="1:19" x14ac:dyDescent="0.2">
      <c r="A55">
        <v>650.23712369493603</v>
      </c>
      <c r="B55" s="4">
        <v>36037.322763726232</v>
      </c>
      <c r="C55" s="7">
        <v>90.578800000000001</v>
      </c>
      <c r="D55" s="15">
        <v>718.42084305518074</v>
      </c>
      <c r="E55" s="23">
        <v>2.5688764107972699</v>
      </c>
      <c r="F55" s="18">
        <v>154.45327621944213</v>
      </c>
      <c r="G55" s="9">
        <v>23286.5</v>
      </c>
      <c r="H55" s="21">
        <v>231.76378559639298</v>
      </c>
      <c r="J55">
        <f t="shared" si="3"/>
        <v>2.415904502175704</v>
      </c>
      <c r="K55" s="23">
        <v>116220.59666666668</v>
      </c>
      <c r="L55" s="23">
        <v>21334.535999999996</v>
      </c>
      <c r="M55" s="15">
        <v>718.42084305518074</v>
      </c>
      <c r="O55">
        <f t="shared" si="0"/>
        <v>48106.453116007389</v>
      </c>
      <c r="P55">
        <f t="shared" si="1"/>
        <v>8830.8689274707012</v>
      </c>
      <c r="Q55">
        <f t="shared" si="2"/>
        <v>297.37137474109124</v>
      </c>
      <c r="S55">
        <f t="shared" si="4"/>
        <v>0.16222453831424088</v>
      </c>
    </row>
    <row r="56" spans="1:19" x14ac:dyDescent="0.2">
      <c r="A56">
        <v>668.47927909965915</v>
      </c>
      <c r="B56" s="4">
        <v>36251.718636526661</v>
      </c>
      <c r="C56" s="7">
        <v>89.207300000000004</v>
      </c>
      <c r="D56" s="15">
        <v>2163.4131838906906</v>
      </c>
      <c r="E56" s="23">
        <v>2.4485190883679402</v>
      </c>
      <c r="F56" s="18">
        <v>155.0710893243199</v>
      </c>
      <c r="G56" s="9">
        <v>23478.6</v>
      </c>
      <c r="H56" s="21">
        <v>235.00847859474248</v>
      </c>
      <c r="J56">
        <f t="shared" si="3"/>
        <v>2.4836817849017758</v>
      </c>
      <c r="K56" s="23">
        <v>118239.37366666668</v>
      </c>
      <c r="L56" s="23">
        <v>21398.513666666669</v>
      </c>
      <c r="M56" s="15">
        <v>2163.4131838906906</v>
      </c>
      <c r="O56">
        <f t="shared" si="0"/>
        <v>47606.490648455911</v>
      </c>
      <c r="P56">
        <f t="shared" si="1"/>
        <v>8615.6422279003564</v>
      </c>
      <c r="Q56">
        <f t="shared" si="2"/>
        <v>871.05087175096742</v>
      </c>
      <c r="S56">
        <f t="shared" si="4"/>
        <v>1.929168527096311</v>
      </c>
    </row>
    <row r="57" spans="1:19" x14ac:dyDescent="0.2">
      <c r="A57">
        <v>689.87568220063326</v>
      </c>
      <c r="B57" s="4">
        <v>36627.603854851142</v>
      </c>
      <c r="C57" s="7">
        <v>99.589399999999998</v>
      </c>
      <c r="D57" s="14">
        <v>-3225.3907817656</v>
      </c>
      <c r="E57" s="23">
        <v>2.3103641364748402</v>
      </c>
      <c r="F57" s="18">
        <v>155.69137368161719</v>
      </c>
      <c r="G57" s="9">
        <v>23586.5</v>
      </c>
      <c r="H57" s="21">
        <v>238.76861425225835</v>
      </c>
      <c r="J57">
        <f t="shared" si="3"/>
        <v>2.5631784249709777</v>
      </c>
      <c r="K57" s="23">
        <v>123893.72966666667</v>
      </c>
      <c r="L57" s="23">
        <v>21662.387666666666</v>
      </c>
      <c r="M57" s="14">
        <v>-3225.3907817656</v>
      </c>
      <c r="O57">
        <f t="shared" si="0"/>
        <v>48335.975544921144</v>
      </c>
      <c r="P57">
        <f t="shared" si="1"/>
        <v>8451.3771868659296</v>
      </c>
      <c r="Q57">
        <f t="shared" si="2"/>
        <v>-1258.3559343131255</v>
      </c>
      <c r="S57">
        <f t="shared" si="4"/>
        <v>-2.4446411514216226</v>
      </c>
    </row>
    <row r="58" spans="1:19" x14ac:dyDescent="0.2">
      <c r="A58">
        <v>703.06389320043399</v>
      </c>
      <c r="B58" s="4">
        <v>36345.118330905832</v>
      </c>
      <c r="C58" s="7">
        <v>93.0518</v>
      </c>
      <c r="D58" s="15">
        <v>-1289.7665931328993</v>
      </c>
      <c r="E58" s="23">
        <v>2.2950376623708602</v>
      </c>
      <c r="F58" s="18">
        <v>156.62552192370688</v>
      </c>
      <c r="G58" s="9">
        <v>23548.2</v>
      </c>
      <c r="H58" s="21">
        <v>241.39506900903316</v>
      </c>
      <c r="J58">
        <f t="shared" si="3"/>
        <v>2.6121781777827073</v>
      </c>
      <c r="K58" s="23">
        <v>130599.281</v>
      </c>
      <c r="L58" s="23">
        <v>23774.714333333333</v>
      </c>
      <c r="M58" s="15">
        <v>-1289.7665931328993</v>
      </c>
      <c r="O58">
        <f t="shared" si="0"/>
        <v>49996.314229550931</v>
      </c>
      <c r="P58">
        <f t="shared" si="1"/>
        <v>9101.4902947830305</v>
      </c>
      <c r="Q58">
        <f t="shared" si="2"/>
        <v>-493.75138499460655</v>
      </c>
      <c r="S58">
        <f t="shared" si="4"/>
        <v>0.60762184090297078</v>
      </c>
    </row>
    <row r="59" spans="1:19" x14ac:dyDescent="0.2">
      <c r="A59">
        <v>710.57660267085066</v>
      </c>
      <c r="B59" s="4">
        <v>36503.351053581609</v>
      </c>
      <c r="C59" s="7">
        <v>80.803399999999996</v>
      </c>
      <c r="D59" s="15">
        <v>-3561.3619594404954</v>
      </c>
      <c r="E59" s="23">
        <v>2.2548710538601799</v>
      </c>
      <c r="F59" s="18">
        <v>156.78214744563059</v>
      </c>
      <c r="G59" s="9">
        <v>23771</v>
      </c>
      <c r="H59" s="21">
        <v>244.0504147681325</v>
      </c>
      <c r="J59">
        <f t="shared" si="3"/>
        <v>2.6400910544421965</v>
      </c>
      <c r="K59" s="23">
        <v>129300.79933333333</v>
      </c>
      <c r="L59" s="23">
        <v>25071.711333333329</v>
      </c>
      <c r="M59" s="15">
        <v>-3561.3619594404954</v>
      </c>
      <c r="O59">
        <f t="shared" si="0"/>
        <v>48975.88631110765</v>
      </c>
      <c r="P59">
        <f t="shared" si="1"/>
        <v>9496.5328150890346</v>
      </c>
      <c r="Q59">
        <f t="shared" si="2"/>
        <v>-1348.9542163510519</v>
      </c>
      <c r="S59">
        <f t="shared" si="4"/>
        <v>-1.7320515088090074</v>
      </c>
    </row>
    <row r="60" spans="1:19" x14ac:dyDescent="0.2">
      <c r="A60">
        <v>721.1165407621852</v>
      </c>
      <c r="B60" s="4">
        <v>36613.856073103336</v>
      </c>
      <c r="C60" s="7">
        <v>80.596500000000006</v>
      </c>
      <c r="D60" s="15">
        <v>-3779.5159389042965</v>
      </c>
      <c r="E60" s="23">
        <v>2.2077767781100901</v>
      </c>
      <c r="F60" s="18">
        <v>157.25249388796746</v>
      </c>
      <c r="G60" s="9">
        <v>24031.018860817527</v>
      </c>
      <c r="H60" s="21">
        <v>246.73496933058195</v>
      </c>
      <c r="J60">
        <f t="shared" si="3"/>
        <v>2.679251359136603</v>
      </c>
      <c r="K60" s="23">
        <v>132244.99333333332</v>
      </c>
      <c r="L60" s="23">
        <v>26517.695666666667</v>
      </c>
      <c r="M60" s="15">
        <v>-3779.5159389042965</v>
      </c>
      <c r="O60">
        <f t="shared" si="0"/>
        <v>49358.934869011202</v>
      </c>
      <c r="P60">
        <f t="shared" si="1"/>
        <v>9897.4273452312718</v>
      </c>
      <c r="Q60">
        <f t="shared" si="2"/>
        <v>-1410.6612005684517</v>
      </c>
      <c r="S60">
        <f t="shared" si="4"/>
        <v>-4.5744313238679425E-2</v>
      </c>
    </row>
    <row r="61" spans="1:19" x14ac:dyDescent="0.2">
      <c r="A61">
        <v>728.80686335338294</v>
      </c>
      <c r="B61" s="5">
        <v>36870.808015939212</v>
      </c>
      <c r="C61" s="7">
        <v>79.9161</v>
      </c>
      <c r="D61" s="14">
        <v>-8292.1565057598928</v>
      </c>
      <c r="E61" s="23">
        <v>2.17911451270475</v>
      </c>
      <c r="F61" s="19">
        <v>157.56699887574339</v>
      </c>
      <c r="G61" s="9">
        <v>24059.991144526852</v>
      </c>
      <c r="H61" s="21">
        <v>249.69578896254893</v>
      </c>
      <c r="J61">
        <f t="shared" si="3"/>
        <v>2.707824143270618</v>
      </c>
      <c r="K61" s="23">
        <v>136776.39899999998</v>
      </c>
      <c r="L61" s="23">
        <v>28555.03</v>
      </c>
      <c r="M61" s="14">
        <v>-8292.1565057598928</v>
      </c>
      <c r="O61">
        <f t="shared" si="0"/>
        <v>50511.551623435924</v>
      </c>
      <c r="P61">
        <f t="shared" si="1"/>
        <v>10545.378314527507</v>
      </c>
      <c r="Q61">
        <f t="shared" si="2"/>
        <v>-3062.2950631292824</v>
      </c>
      <c r="S61">
        <f>(Q61-Q60)/ABS(Q60)</f>
        <v>-1.1708224922435484</v>
      </c>
    </row>
    <row r="62" spans="1:19" x14ac:dyDescent="0.2">
      <c r="A62">
        <v>744.11284677739957</v>
      </c>
      <c r="B62" s="6">
        <v>36272.428094244002</v>
      </c>
      <c r="C62" s="8">
        <v>78.249300000000005</v>
      </c>
      <c r="D62" s="15">
        <v>-3635.9066723060023</v>
      </c>
      <c r="E62" s="23">
        <v>2.09682613887224</v>
      </c>
      <c r="F62" s="20">
        <v>158.03969987237062</v>
      </c>
      <c r="G62" s="16">
        <v>24179.672865482131</v>
      </c>
      <c r="H62" s="22">
        <v>252.94183421906209</v>
      </c>
      <c r="J62">
        <f t="shared" si="3"/>
        <v>2.7646923116922917</v>
      </c>
      <c r="K62" s="23">
        <v>143045.79733333335</v>
      </c>
      <c r="L62" s="23">
        <v>30833.141666666666</v>
      </c>
      <c r="M62" s="15">
        <v>-3635.9066723060023</v>
      </c>
      <c r="O62">
        <f>K62/$J62</f>
        <v>51740.223217018247</v>
      </c>
      <c r="P62">
        <f t="shared" si="1"/>
        <v>11152.4676855608</v>
      </c>
      <c r="Q62">
        <f t="shared" si="2"/>
        <v>-1315.1216346677047</v>
      </c>
      <c r="S62">
        <f t="shared" si="4"/>
        <v>0.5705437890352032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2026-06-19T13:31:13Z</dcterms:modified>
</cp:coreProperties>
</file>